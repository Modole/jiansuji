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新\sy\动静太精度说明书\"/>
    </mc:Choice>
  </mc:AlternateContent>
  <bookViews>
    <workbookView xWindow="0" yWindow="0" windowWidth="23040" windowHeight="9144" activeTab="1"/>
  </bookViews>
  <sheets>
    <sheet name="静态传动误差" sheetId="1" r:id="rId1"/>
    <sheet name="背隙&amp;转动刚度" sheetId="2" r:id="rId2"/>
    <sheet name="启动力矩" sheetId="4" r:id="rId3"/>
    <sheet name="动态传动误差" sheetId="5" r:id="rId4"/>
    <sheet name="传动效率" sheetId="6" r:id="rId5"/>
    <sheet name="传动误差计算" sheetId="3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" l="1"/>
  <c r="BQ4" i="2" l="1"/>
  <c r="BR4" i="2" s="1"/>
  <c r="BS4" i="2" s="1"/>
  <c r="BT4" i="2" s="1"/>
  <c r="BU4" i="2" s="1"/>
  <c r="BV4" i="2" s="1"/>
  <c r="BW4" i="2" s="1"/>
  <c r="BX4" i="2" s="1"/>
  <c r="BY4" i="2" s="1"/>
  <c r="BZ4" i="2" s="1"/>
  <c r="CA4" i="2" s="1"/>
  <c r="CB4" i="2" s="1"/>
  <c r="CC4" i="2" s="1"/>
  <c r="CD4" i="2" s="1"/>
  <c r="CE4" i="2" s="1"/>
  <c r="CF4" i="2" s="1"/>
  <c r="CG4" i="2" s="1"/>
  <c r="CH4" i="2" s="1"/>
  <c r="CI4" i="2" s="1"/>
  <c r="CJ4" i="2" s="1"/>
  <c r="CK4" i="2" s="1"/>
  <c r="CL4" i="2" s="1"/>
  <c r="CM4" i="2" s="1"/>
  <c r="CN4" i="2" s="1"/>
  <c r="CO4" i="2" s="1"/>
  <c r="CP4" i="2" s="1"/>
  <c r="CQ4" i="2" s="1"/>
  <c r="CR4" i="2" s="1"/>
  <c r="CS4" i="2" s="1"/>
  <c r="CT4" i="2" s="1"/>
  <c r="CU4" i="2" s="1"/>
  <c r="CV4" i="2" s="1"/>
  <c r="CW4" i="2" s="1"/>
  <c r="CX4" i="2" s="1"/>
  <c r="CY4" i="2" s="1"/>
  <c r="CZ4" i="2" s="1"/>
  <c r="DA4" i="2" s="1"/>
  <c r="DB4" i="2" s="1"/>
  <c r="DC4" i="2" s="1"/>
  <c r="DD4" i="2" s="1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AC16" i="2"/>
  <c r="AC17" i="2"/>
  <c r="AC18" i="2"/>
  <c r="AC19" i="2"/>
  <c r="AB17" i="2"/>
  <c r="AB18" i="2"/>
  <c r="AB19" i="2"/>
  <c r="AB16" i="2"/>
  <c r="C10" i="2" l="1"/>
  <c r="D10" i="2" s="1"/>
  <c r="E10" i="2" s="1"/>
  <c r="F10" i="2" s="1"/>
  <c r="G10" i="2" s="1"/>
  <c r="H10" i="2" s="1"/>
  <c r="I10" i="2" s="1"/>
  <c r="J10" i="2" s="1"/>
  <c r="C7" i="2"/>
  <c r="D7" i="2" s="1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D4" i="2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O3" i="4" l="1"/>
  <c r="P3" i="4"/>
  <c r="Q3" i="4"/>
  <c r="N3" i="4"/>
  <c r="L4" i="4"/>
  <c r="Q4" i="4" s="1"/>
  <c r="H3" i="4"/>
  <c r="I3" i="4" s="1"/>
  <c r="J3" i="4" s="1"/>
  <c r="K3" i="4" s="1"/>
  <c r="L3" i="4" s="1"/>
  <c r="F4" i="4"/>
  <c r="E3" i="4"/>
  <c r="F3" i="4"/>
  <c r="D3" i="4"/>
  <c r="C3" i="4"/>
  <c r="J5" i="6" l="1"/>
  <c r="J9" i="6" s="1"/>
  <c r="E5" i="6"/>
  <c r="E9" i="6" s="1"/>
  <c r="C5" i="6"/>
  <c r="C9" i="6" s="1"/>
  <c r="O5" i="6"/>
  <c r="O9" i="6" s="1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B8" i="6"/>
  <c r="D5" i="6"/>
  <c r="D9" i="6" s="1"/>
  <c r="F5" i="6"/>
  <c r="F9" i="6" s="1"/>
  <c r="G5" i="6"/>
  <c r="G9" i="6" s="1"/>
  <c r="H5" i="6"/>
  <c r="H9" i="6" s="1"/>
  <c r="I5" i="6"/>
  <c r="I9" i="6" s="1"/>
  <c r="K5" i="6"/>
  <c r="K9" i="6" s="1"/>
  <c r="L5" i="6"/>
  <c r="L9" i="6" s="1"/>
  <c r="M5" i="6"/>
  <c r="M9" i="6" s="1"/>
  <c r="N5" i="6"/>
  <c r="N9" i="6" s="1"/>
  <c r="P5" i="6"/>
  <c r="P9" i="6" s="1"/>
  <c r="Q5" i="6"/>
  <c r="Q9" i="6" s="1"/>
  <c r="R5" i="6"/>
  <c r="R9" i="6" s="1"/>
  <c r="S5" i="6"/>
  <c r="S9" i="6" s="1"/>
  <c r="T5" i="6"/>
  <c r="T9" i="6" s="1"/>
  <c r="U5" i="6"/>
  <c r="U9" i="6" s="1"/>
  <c r="V5" i="6"/>
  <c r="V9" i="6" s="1"/>
  <c r="B5" i="6"/>
  <c r="C7" i="6"/>
  <c r="D7" i="6" s="1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D5" i="5" l="1"/>
  <c r="C5" i="5"/>
  <c r="E4" i="5"/>
  <c r="E5" i="5" s="1"/>
  <c r="D4" i="5"/>
  <c r="E3" i="5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D3" i="5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C19" i="1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2" i="3"/>
  <c r="D11" i="3"/>
  <c r="D10" i="3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5" i="3"/>
  <c r="D4" i="3"/>
  <c r="E4" i="3" s="1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F4" i="5" l="1"/>
  <c r="D12" i="3"/>
  <c r="E5" i="3"/>
  <c r="F4" i="3"/>
  <c r="D5" i="3"/>
  <c r="E11" i="3"/>
  <c r="B21" i="2"/>
  <c r="C20" i="2"/>
  <c r="G4" i="5" l="1"/>
  <c r="F5" i="5"/>
  <c r="E12" i="3"/>
  <c r="F11" i="3"/>
  <c r="F5" i="3"/>
  <c r="G4" i="3"/>
  <c r="C21" i="2"/>
  <c r="D20" i="2"/>
  <c r="C15" i="1"/>
  <c r="D14" i="1"/>
  <c r="D15" i="1" s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C8" i="1"/>
  <c r="D7" i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G5" i="5" l="1"/>
  <c r="H4" i="5"/>
  <c r="F12" i="3"/>
  <c r="G11" i="3"/>
  <c r="G5" i="3"/>
  <c r="H4" i="3"/>
  <c r="D21" i="2"/>
  <c r="E20" i="2"/>
  <c r="E14" i="1"/>
  <c r="D8" i="1"/>
  <c r="E7" i="1"/>
  <c r="H5" i="5" l="1"/>
  <c r="I4" i="5"/>
  <c r="I4" i="3"/>
  <c r="H5" i="3"/>
  <c r="G12" i="3"/>
  <c r="H11" i="3"/>
  <c r="E21" i="2"/>
  <c r="F20" i="2"/>
  <c r="E15" i="1"/>
  <c r="F14" i="1"/>
  <c r="E8" i="1"/>
  <c r="F7" i="1"/>
  <c r="I5" i="5" l="1"/>
  <c r="J4" i="5"/>
  <c r="H12" i="3"/>
  <c r="I11" i="3"/>
  <c r="J4" i="3"/>
  <c r="I5" i="3"/>
  <c r="F21" i="2"/>
  <c r="G20" i="2"/>
  <c r="F15" i="1"/>
  <c r="G14" i="1"/>
  <c r="F8" i="1"/>
  <c r="G7" i="1"/>
  <c r="J5" i="5" l="1"/>
  <c r="K4" i="5"/>
  <c r="I12" i="3"/>
  <c r="J11" i="3"/>
  <c r="J5" i="3"/>
  <c r="K4" i="3"/>
  <c r="G21" i="2"/>
  <c r="H20" i="2"/>
  <c r="H14" i="1"/>
  <c r="G15" i="1"/>
  <c r="H7" i="1"/>
  <c r="G8" i="1"/>
  <c r="K5" i="5" l="1"/>
  <c r="L4" i="5"/>
  <c r="K5" i="3"/>
  <c r="L4" i="3"/>
  <c r="J12" i="3"/>
  <c r="K11" i="3"/>
  <c r="H21" i="2"/>
  <c r="I20" i="2"/>
  <c r="H15" i="1"/>
  <c r="I14" i="1"/>
  <c r="H8" i="1"/>
  <c r="I7" i="1"/>
  <c r="L5" i="5" l="1"/>
  <c r="M4" i="5"/>
  <c r="K12" i="3"/>
  <c r="L11" i="3"/>
  <c r="L5" i="3"/>
  <c r="M4" i="3"/>
  <c r="I21" i="2"/>
  <c r="J20" i="2"/>
  <c r="I15" i="1"/>
  <c r="J14" i="1"/>
  <c r="I8" i="1"/>
  <c r="J7" i="1"/>
  <c r="M5" i="5" l="1"/>
  <c r="N4" i="5"/>
  <c r="M5" i="3"/>
  <c r="N4" i="3"/>
  <c r="L12" i="3"/>
  <c r="M11" i="3"/>
  <c r="J21" i="2"/>
  <c r="K20" i="2"/>
  <c r="J15" i="1"/>
  <c r="K14" i="1"/>
  <c r="J8" i="1"/>
  <c r="K7" i="1"/>
  <c r="N5" i="5" l="1"/>
  <c r="O4" i="5"/>
  <c r="M12" i="3"/>
  <c r="N11" i="3"/>
  <c r="N5" i="3"/>
  <c r="O4" i="3"/>
  <c r="L20" i="2"/>
  <c r="K21" i="2"/>
  <c r="K15" i="1"/>
  <c r="L14" i="1"/>
  <c r="K8" i="1"/>
  <c r="L7" i="1"/>
  <c r="O5" i="5" l="1"/>
  <c r="P4" i="5"/>
  <c r="O5" i="3"/>
  <c r="P4" i="3"/>
  <c r="O11" i="3"/>
  <c r="N12" i="3"/>
  <c r="L21" i="2"/>
  <c r="M20" i="2"/>
  <c r="M14" i="1"/>
  <c r="L15" i="1"/>
  <c r="L8" i="1"/>
  <c r="M7" i="1"/>
  <c r="Q4" i="5" l="1"/>
  <c r="P5" i="5"/>
  <c r="P5" i="3"/>
  <c r="Q4" i="3"/>
  <c r="O12" i="3"/>
  <c r="P11" i="3"/>
  <c r="N20" i="2"/>
  <c r="M21" i="2"/>
  <c r="M15" i="1"/>
  <c r="N14" i="1"/>
  <c r="M8" i="1"/>
  <c r="N7" i="1"/>
  <c r="Q5" i="5" l="1"/>
  <c r="R4" i="5"/>
  <c r="Q5" i="3"/>
  <c r="R4" i="3"/>
  <c r="P12" i="3"/>
  <c r="Q11" i="3"/>
  <c r="O20" i="2"/>
  <c r="N21" i="2"/>
  <c r="O14" i="1"/>
  <c r="N15" i="1"/>
  <c r="O7" i="1"/>
  <c r="N8" i="1"/>
  <c r="R5" i="5" l="1"/>
  <c r="S4" i="5"/>
  <c r="R5" i="3"/>
  <c r="S4" i="3"/>
  <c r="Q12" i="3"/>
  <c r="R11" i="3"/>
  <c r="P20" i="2"/>
  <c r="Q20" i="2" s="1"/>
  <c r="O21" i="2"/>
  <c r="O15" i="1"/>
  <c r="P14" i="1"/>
  <c r="O8" i="1"/>
  <c r="P7" i="1"/>
  <c r="S5" i="5" l="1"/>
  <c r="T4" i="5"/>
  <c r="S5" i="3"/>
  <c r="T4" i="3"/>
  <c r="R12" i="3"/>
  <c r="S11" i="3"/>
  <c r="P21" i="2"/>
  <c r="Q21" i="2"/>
  <c r="P15" i="1"/>
  <c r="Q14" i="1"/>
  <c r="P8" i="1"/>
  <c r="Q7" i="1"/>
  <c r="T5" i="5" l="1"/>
  <c r="U4" i="5"/>
  <c r="T5" i="3"/>
  <c r="U4" i="3"/>
  <c r="T11" i="3"/>
  <c r="S12" i="3"/>
  <c r="Q15" i="1"/>
  <c r="R14" i="1"/>
  <c r="Q8" i="1"/>
  <c r="R7" i="1"/>
  <c r="U5" i="5" l="1"/>
  <c r="V4" i="5"/>
  <c r="U5" i="3"/>
  <c r="V4" i="3"/>
  <c r="T12" i="3"/>
  <c r="U11" i="3"/>
  <c r="R15" i="1"/>
  <c r="S14" i="1"/>
  <c r="R8" i="1"/>
  <c r="S7" i="1"/>
  <c r="V5" i="5" l="1"/>
  <c r="W4" i="5"/>
  <c r="V5" i="3"/>
  <c r="W4" i="3"/>
  <c r="U12" i="3"/>
  <c r="V11" i="3"/>
  <c r="T14" i="1"/>
  <c r="S15" i="1"/>
  <c r="S8" i="1"/>
  <c r="T7" i="1"/>
  <c r="W5" i="5" l="1"/>
  <c r="X4" i="5"/>
  <c r="W5" i="3"/>
  <c r="X4" i="3"/>
  <c r="V12" i="3"/>
  <c r="W11" i="3"/>
  <c r="T15" i="1"/>
  <c r="U14" i="1"/>
  <c r="T8" i="1"/>
  <c r="U7" i="1"/>
  <c r="X5" i="5" l="1"/>
  <c r="Y4" i="5"/>
  <c r="W12" i="3"/>
  <c r="X11" i="3"/>
  <c r="X5" i="3"/>
  <c r="Y4" i="3"/>
  <c r="U15" i="1"/>
  <c r="V14" i="1"/>
  <c r="U8" i="1"/>
  <c r="V7" i="1"/>
  <c r="Y5" i="5" l="1"/>
  <c r="Z4" i="5"/>
  <c r="Y5" i="3"/>
  <c r="Z4" i="3"/>
  <c r="X12" i="3"/>
  <c r="Y11" i="3"/>
  <c r="V15" i="1"/>
  <c r="W14" i="1"/>
  <c r="V8" i="1"/>
  <c r="W7" i="1"/>
  <c r="Z5" i="5" l="1"/>
  <c r="AA4" i="5"/>
  <c r="AA5" i="5" s="1"/>
  <c r="Y12" i="3"/>
  <c r="Z11" i="3"/>
  <c r="Z5" i="3"/>
  <c r="AA4" i="3"/>
  <c r="AA5" i="3" s="1"/>
  <c r="W15" i="1"/>
  <c r="X14" i="1"/>
  <c r="W8" i="1"/>
  <c r="X7" i="1"/>
  <c r="AA11" i="3" l="1"/>
  <c r="AA12" i="3" s="1"/>
  <c r="Z12" i="3"/>
  <c r="X15" i="1"/>
  <c r="Y14" i="1"/>
  <c r="Z14" i="1" s="1"/>
  <c r="X8" i="1"/>
  <c r="Y7" i="1"/>
  <c r="Z7" i="1" s="1"/>
  <c r="Z15" i="1" l="1"/>
  <c r="AA14" i="1"/>
  <c r="AA15" i="1" s="1"/>
  <c r="Z8" i="1"/>
  <c r="AA7" i="1"/>
  <c r="AA8" i="1" s="1"/>
  <c r="Y15" i="1"/>
  <c r="Y8" i="1"/>
</calcChain>
</file>

<file path=xl/sharedStrings.xml><?xml version="1.0" encoding="utf-8"?>
<sst xmlns="http://schemas.openxmlformats.org/spreadsheetml/2006/main" count="57" uniqueCount="26">
  <si>
    <r>
      <t>转角φ</t>
    </r>
    <r>
      <rPr>
        <sz val="6"/>
        <color theme="1"/>
        <rFont val="黑体"/>
        <family val="3"/>
        <charset val="134"/>
      </rPr>
      <t>入</t>
    </r>
    <r>
      <rPr>
        <sz val="11"/>
        <color theme="1"/>
        <rFont val="黑体"/>
        <family val="3"/>
        <charset val="134"/>
      </rPr>
      <t>（°）</t>
    </r>
    <phoneticPr fontId="2" type="noConversion"/>
  </si>
  <si>
    <t>理论值</t>
    <phoneticPr fontId="2" type="noConversion"/>
  </si>
  <si>
    <t>实际值</t>
    <phoneticPr fontId="2" type="noConversion"/>
  </si>
  <si>
    <r>
      <t xml:space="preserve">              误差</t>
    </r>
    <r>
      <rPr>
        <sz val="11"/>
        <color theme="1"/>
        <rFont val="宋体"/>
        <family val="3"/>
        <charset val="134"/>
      </rPr>
      <t/>
    </r>
    <phoneticPr fontId="2" type="noConversion"/>
  </si>
  <si>
    <r>
      <t xml:space="preserve">                误差</t>
    </r>
    <r>
      <rPr>
        <sz val="11"/>
        <color theme="1"/>
        <rFont val="宋体"/>
        <family val="3"/>
        <charset val="134"/>
      </rPr>
      <t/>
    </r>
    <phoneticPr fontId="2" type="noConversion"/>
  </si>
  <si>
    <r>
      <t>转角</t>
    </r>
    <r>
      <rPr>
        <sz val="16"/>
        <color theme="1"/>
        <rFont val="等线"/>
        <family val="3"/>
        <charset val="134"/>
        <scheme val="minor"/>
      </rPr>
      <t>φ</t>
    </r>
    <r>
      <rPr>
        <sz val="6"/>
        <color theme="1"/>
        <rFont val="等线"/>
        <family val="3"/>
        <charset val="134"/>
        <scheme val="minor"/>
      </rPr>
      <t>出</t>
    </r>
    <r>
      <rPr>
        <sz val="11"/>
        <color theme="1"/>
        <rFont val="等线"/>
        <family val="2"/>
        <charset val="134"/>
        <scheme val="minor"/>
      </rPr>
      <t>（°）</t>
    </r>
    <phoneticPr fontId="2" type="noConversion"/>
  </si>
  <si>
    <r>
      <t>转角</t>
    </r>
    <r>
      <rPr>
        <sz val="9"/>
        <color theme="1"/>
        <rFont val="等线"/>
        <family val="3"/>
        <charset val="134"/>
        <scheme val="minor"/>
      </rPr>
      <t>φ出（°）</t>
    </r>
    <phoneticPr fontId="2" type="noConversion"/>
  </si>
  <si>
    <t>单向传动（正向旋转）</t>
    <phoneticPr fontId="2" type="noConversion"/>
  </si>
  <si>
    <t>单向传动（反向旋转）</t>
    <phoneticPr fontId="2" type="noConversion"/>
  </si>
  <si>
    <r>
      <t xml:space="preserve">        误差</t>
    </r>
    <r>
      <rPr>
        <sz val="11"/>
        <color theme="1"/>
        <rFont val="宋体"/>
        <family val="3"/>
        <charset val="134"/>
      </rPr>
      <t/>
    </r>
    <phoneticPr fontId="2" type="noConversion"/>
  </si>
  <si>
    <r>
      <t xml:space="preserve">         误差</t>
    </r>
    <r>
      <rPr>
        <sz val="11"/>
        <color theme="1"/>
        <rFont val="宋体"/>
        <family val="3"/>
        <charset val="134"/>
      </rPr>
      <t/>
    </r>
    <phoneticPr fontId="2" type="noConversion"/>
  </si>
  <si>
    <t>扭矩值(NM)</t>
    <phoneticPr fontId="2" type="noConversion"/>
  </si>
  <si>
    <t>转角φ(″)</t>
    <phoneticPr fontId="2" type="noConversion"/>
  </si>
  <si>
    <r>
      <t xml:space="preserve">输出扭矩= </t>
    </r>
    <r>
      <rPr>
        <sz val="16"/>
        <color theme="1"/>
        <rFont val="等线"/>
        <family val="3"/>
        <charset val="134"/>
        <scheme val="minor"/>
      </rPr>
      <t xml:space="preserve">                      （</t>
    </r>
    <r>
      <rPr>
        <sz val="16"/>
        <color rgb="FFFF0000"/>
        <rFont val="等线"/>
        <family val="3"/>
        <charset val="134"/>
        <scheme val="minor"/>
      </rPr>
      <t>空载、变载荷、额定载荷</t>
    </r>
    <r>
      <rPr>
        <sz val="16"/>
        <color theme="1"/>
        <rFont val="等线"/>
        <family val="3"/>
        <charset val="134"/>
        <scheme val="minor"/>
      </rPr>
      <t>）</t>
    </r>
    <phoneticPr fontId="2" type="noConversion"/>
  </si>
  <si>
    <t>效率</t>
    <phoneticPr fontId="2" type="noConversion"/>
  </si>
  <si>
    <t>输入转速（rpm）</t>
    <phoneticPr fontId="2" type="noConversion"/>
  </si>
  <si>
    <t>输出转速（rpm）</t>
    <phoneticPr fontId="2" type="noConversion"/>
  </si>
  <si>
    <t>输入扭矩（NM）</t>
    <phoneticPr fontId="2" type="noConversion"/>
  </si>
  <si>
    <t>输出扭矩（NM）</t>
    <phoneticPr fontId="2" type="noConversion"/>
  </si>
  <si>
    <t>输入功率(Kw)</t>
    <phoneticPr fontId="2" type="noConversion"/>
  </si>
  <si>
    <t>输出功率(Kw)</t>
    <phoneticPr fontId="2" type="noConversion"/>
  </si>
  <si>
    <t>背隙&amp;扭转刚度(上曲线）</t>
    <phoneticPr fontId="2" type="noConversion"/>
  </si>
  <si>
    <t>上</t>
    <phoneticPr fontId="2" type="noConversion"/>
  </si>
  <si>
    <t>下</t>
    <phoneticPr fontId="2" type="noConversion"/>
  </si>
  <si>
    <t>中</t>
    <phoneticPr fontId="2" type="noConversion"/>
  </si>
  <si>
    <t xml:space="preserve">        空程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</si>
</sst>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7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黑体"/>
      <family val="3"/>
      <charset val="134"/>
    </font>
    <font>
      <sz val="6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黑体"/>
      <family val="3"/>
      <charset val="134"/>
    </font>
    <font>
      <sz val="6"/>
      <color theme="1"/>
      <name val="黑体"/>
      <family val="3"/>
      <charset val="134"/>
    </font>
    <font>
      <sz val="11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theme="1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  <font>
      <sz val="9"/>
      <color theme="1"/>
      <name val="黑体"/>
      <family val="3"/>
      <charset val="134"/>
    </font>
    <font>
      <sz val="8"/>
      <color theme="1"/>
      <name val="黑体"/>
      <family val="3"/>
      <charset val="134"/>
    </font>
    <font>
      <sz val="11"/>
      <color theme="4" tint="-0.249977111117893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A3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6" fillId="0" borderId="1" xfId="0" applyFont="1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1" xfId="0" applyFont="1" applyBorder="1">
      <alignment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6" fillId="0" borderId="0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7A3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反向传动误差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635883711850068E-2"/>
          <c:y val="5.1000671203908866E-2"/>
          <c:w val="0.90642353202750481"/>
          <c:h val="0.88638851399303775"/>
        </c:manualLayout>
      </c:layout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3175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静态传动误差!$C$14:$AA$14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cat>
          <c:val>
            <c:numRef>
              <c:f>静态传动误差!$C$16:$AA$16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20</c:v>
                </c:pt>
                <c:pt idx="3">
                  <c:v>-10</c:v>
                </c:pt>
                <c:pt idx="4">
                  <c:v>-30</c:v>
                </c:pt>
                <c:pt idx="5">
                  <c:v>-10</c:v>
                </c:pt>
                <c:pt idx="6">
                  <c:v>-20</c:v>
                </c:pt>
                <c:pt idx="7">
                  <c:v>0</c:v>
                </c:pt>
                <c:pt idx="8">
                  <c:v>-40</c:v>
                </c:pt>
                <c:pt idx="9">
                  <c:v>-30</c:v>
                </c:pt>
                <c:pt idx="10">
                  <c:v>50</c:v>
                </c:pt>
                <c:pt idx="11">
                  <c:v>-50</c:v>
                </c:pt>
                <c:pt idx="12">
                  <c:v>20</c:v>
                </c:pt>
                <c:pt idx="13">
                  <c:v>-50</c:v>
                </c:pt>
                <c:pt idx="14">
                  <c:v>-20</c:v>
                </c:pt>
                <c:pt idx="15">
                  <c:v>50</c:v>
                </c:pt>
                <c:pt idx="16">
                  <c:v>0</c:v>
                </c:pt>
                <c:pt idx="17">
                  <c:v>10</c:v>
                </c:pt>
                <c:pt idx="18">
                  <c:v>10</c:v>
                </c:pt>
                <c:pt idx="19">
                  <c:v>-30</c:v>
                </c:pt>
                <c:pt idx="20">
                  <c:v>-20</c:v>
                </c:pt>
                <c:pt idx="21">
                  <c:v>-20</c:v>
                </c:pt>
                <c:pt idx="22">
                  <c:v>-40</c:v>
                </c:pt>
                <c:pt idx="23">
                  <c:v>-30.56</c:v>
                </c:pt>
                <c:pt idx="24">
                  <c:v>-5.91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7-449C-AE2F-8EA17BE58F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5933711"/>
        <c:axId val="415927887"/>
      </c:lineChart>
      <c:catAx>
        <c:axId val="41593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低速轴转角</a:t>
                </a:r>
              </a:p>
            </c:rich>
          </c:tx>
          <c:layout>
            <c:manualLayout>
              <c:xMode val="edge"/>
              <c:yMode val="edge"/>
              <c:x val="0.46241887584121188"/>
              <c:y val="0.8880267484781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27887"/>
        <c:crosses val="autoZero"/>
        <c:auto val="1"/>
        <c:lblAlgn val="ctr"/>
        <c:lblOffset val="100"/>
        <c:noMultiLvlLbl val="0"/>
      </c:catAx>
      <c:valAx>
        <c:axId val="415927887"/>
        <c:scaling>
          <c:orientation val="minMax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转角误差</a:t>
                </a:r>
              </a:p>
            </c:rich>
          </c:tx>
          <c:layout>
            <c:manualLayout>
              <c:xMode val="edge"/>
              <c:yMode val="edge"/>
              <c:x val="1.845444059976932E-2"/>
              <c:y val="0.36225422529427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3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正向</a:t>
            </a:r>
            <a:r>
              <a:rPr lang="zh-CN" altLang="zh-CN" sz="1800" b="1" i="0" cap="all" baseline="0">
                <a:effectLst/>
              </a:rPr>
              <a:t>传动误差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635883711850068E-2"/>
          <c:y val="5.1000671203908866E-2"/>
          <c:w val="0.90642353202750481"/>
          <c:h val="0.88638851399303775"/>
        </c:manualLayout>
      </c:layout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静态传动误差!$C$7:$AA$7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cat>
          <c:val>
            <c:numRef>
              <c:f>静态传动误差!$C$9:$AA$9</c:f>
              <c:numCache>
                <c:formatCode>0.00_ </c:formatCode>
                <c:ptCount val="25"/>
                <c:pt idx="0" formatCode="General">
                  <c:v>0</c:v>
                </c:pt>
                <c:pt idx="1">
                  <c:v>6.948134634130021</c:v>
                </c:pt>
                <c:pt idx="2">
                  <c:v>47.7134576146277</c:v>
                </c:pt>
                <c:pt idx="3">
                  <c:v>-42.784265208444808</c:v>
                </c:pt>
                <c:pt idx="4">
                  <c:v>46.299996345779562</c:v>
                </c:pt>
                <c:pt idx="5">
                  <c:v>-17.888790047672988</c:v>
                </c:pt>
                <c:pt idx="6">
                  <c:v>32.787953320270013</c:v>
                </c:pt>
                <c:pt idx="7">
                  <c:v>-15.728072413849803</c:v>
                </c:pt>
                <c:pt idx="8">
                  <c:v>37.67911438996726</c:v>
                </c:pt>
                <c:pt idx="9">
                  <c:v>0.91970785974433422</c:v>
                </c:pt>
                <c:pt idx="10">
                  <c:v>-27.051761302538189</c:v>
                </c:pt>
                <c:pt idx="11">
                  <c:v>9.9612676860121763</c:v>
                </c:pt>
                <c:pt idx="12">
                  <c:v>25.413785072277996</c:v>
                </c:pt>
                <c:pt idx="13">
                  <c:v>12.205071938138879</c:v>
                </c:pt>
                <c:pt idx="14">
                  <c:v>46.052812578711311</c:v>
                </c:pt>
                <c:pt idx="15">
                  <c:v>-37.665348073145324</c:v>
                </c:pt>
                <c:pt idx="16">
                  <c:v>-44.77991667707775</c:v>
                </c:pt>
                <c:pt idx="17">
                  <c:v>36.178062286353907</c:v>
                </c:pt>
                <c:pt idx="18">
                  <c:v>39.271681132715287</c:v>
                </c:pt>
                <c:pt idx="19">
                  <c:v>-14.599234960547914</c:v>
                </c:pt>
                <c:pt idx="20">
                  <c:v>-42.880787724768901</c:v>
                </c:pt>
                <c:pt idx="21">
                  <c:v>2.9140335525540295</c:v>
                </c:pt>
                <c:pt idx="22">
                  <c:v>41.812790742400111</c:v>
                </c:pt>
                <c:pt idx="23">
                  <c:v>20.88</c:v>
                </c:pt>
                <c:pt idx="24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F2-4EA1-BEBD-54BD93DDE9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5933711"/>
        <c:axId val="415927887"/>
      </c:lineChart>
      <c:catAx>
        <c:axId val="41593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低速轴转角</a:t>
                </a:r>
              </a:p>
            </c:rich>
          </c:tx>
          <c:layout>
            <c:manualLayout>
              <c:xMode val="edge"/>
              <c:yMode val="edge"/>
              <c:x val="0.46241887584121188"/>
              <c:y val="0.8880267484781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27887"/>
        <c:crosses val="autoZero"/>
        <c:auto val="1"/>
        <c:lblAlgn val="ctr"/>
        <c:lblOffset val="100"/>
        <c:noMultiLvlLbl val="0"/>
      </c:catAx>
      <c:valAx>
        <c:axId val="415927887"/>
        <c:scaling>
          <c:orientation val="minMax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转角误差</a:t>
                </a:r>
              </a:p>
            </c:rich>
          </c:tx>
          <c:layout>
            <c:manualLayout>
              <c:xMode val="edge"/>
              <c:yMode val="edge"/>
              <c:x val="1.845444059976932E-2"/>
              <c:y val="0.36225422529427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3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空程（误差）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635883711850068E-2"/>
          <c:y val="5.1000671203908866E-2"/>
          <c:w val="0.90642353202750481"/>
          <c:h val="0.88638851399303775"/>
        </c:manualLayout>
      </c:layout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静态传动误差!$C$7:$AA$7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cat>
          <c:val>
            <c:numRef>
              <c:f>静态传动误差!$C$19:$AA$19</c:f>
              <c:numCache>
                <c:formatCode>General</c:formatCode>
                <c:ptCount val="25"/>
                <c:pt idx="0">
                  <c:v>5.91</c:v>
                </c:pt>
                <c:pt idx="1">
                  <c:v>37.508134634130016</c:v>
                </c:pt>
                <c:pt idx="2">
                  <c:v>87.7134576146277</c:v>
                </c:pt>
                <c:pt idx="3">
                  <c:v>22.784265208444808</c:v>
                </c:pt>
                <c:pt idx="4">
                  <c:v>66.299996345779562</c:v>
                </c:pt>
                <c:pt idx="5">
                  <c:v>12.111209952327012</c:v>
                </c:pt>
                <c:pt idx="6">
                  <c:v>22.787953320270013</c:v>
                </c:pt>
                <c:pt idx="7">
                  <c:v>25.728072413849802</c:v>
                </c:pt>
                <c:pt idx="8">
                  <c:v>37.67911438996726</c:v>
                </c:pt>
                <c:pt idx="9">
                  <c:v>49.080292140255665</c:v>
                </c:pt>
                <c:pt idx="10">
                  <c:v>7.0517613025381891</c:v>
                </c:pt>
                <c:pt idx="11">
                  <c:v>59.961267686012178</c:v>
                </c:pt>
                <c:pt idx="12">
                  <c:v>5.4137850722779959</c:v>
                </c:pt>
                <c:pt idx="13">
                  <c:v>62.205071938138879</c:v>
                </c:pt>
                <c:pt idx="14">
                  <c:v>3.9471874212886888</c:v>
                </c:pt>
                <c:pt idx="15">
                  <c:v>7.6653480731453243</c:v>
                </c:pt>
                <c:pt idx="16">
                  <c:v>4.7799166770777504</c:v>
                </c:pt>
                <c:pt idx="17">
                  <c:v>36.178062286353907</c:v>
                </c:pt>
                <c:pt idx="18">
                  <c:v>59.271681132715287</c:v>
                </c:pt>
                <c:pt idx="19">
                  <c:v>4.5992349605479141</c:v>
                </c:pt>
                <c:pt idx="20">
                  <c:v>12.880787724768901</c:v>
                </c:pt>
                <c:pt idx="21">
                  <c:v>12.914033552554029</c:v>
                </c:pt>
                <c:pt idx="22">
                  <c:v>21.812790742400111</c:v>
                </c:pt>
                <c:pt idx="23">
                  <c:v>9.120000000000001</c:v>
                </c:pt>
                <c:pt idx="24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0-4184-8928-3C558CBF4E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5933711"/>
        <c:axId val="415927887"/>
      </c:lineChart>
      <c:catAx>
        <c:axId val="41593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低速轴转角</a:t>
                </a:r>
              </a:p>
            </c:rich>
          </c:tx>
          <c:layout>
            <c:manualLayout>
              <c:xMode val="edge"/>
              <c:yMode val="edge"/>
              <c:x val="0.46164592501552126"/>
              <c:y val="0.959273506842179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27887"/>
        <c:crosses val="autoZero"/>
        <c:auto val="1"/>
        <c:lblAlgn val="ctr"/>
        <c:lblOffset val="100"/>
        <c:noMultiLvlLbl val="0"/>
      </c:catAx>
      <c:valAx>
        <c:axId val="415927887"/>
        <c:scaling>
          <c:orientation val="minMax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空程</a:t>
                </a:r>
                <a:r>
                  <a:rPr lang="zh-CN"/>
                  <a:t>误差</a:t>
                </a:r>
              </a:p>
            </c:rich>
          </c:tx>
          <c:layout>
            <c:manualLayout>
              <c:xMode val="edge"/>
              <c:yMode val="edge"/>
              <c:x val="1.845444059976932E-2"/>
              <c:y val="0.36225422529427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3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'背隙&amp;转动刚度'!$AB$21:$DD$21</c:f>
              <c:numCache>
                <c:formatCode>General</c:formatCode>
                <c:ptCount val="81"/>
                <c:pt idx="0">
                  <c:v>-51.999999999999979</c:v>
                </c:pt>
                <c:pt idx="1">
                  <c:v>-50.699999999999982</c:v>
                </c:pt>
                <c:pt idx="2">
                  <c:v>-49.399999999999984</c:v>
                </c:pt>
                <c:pt idx="3">
                  <c:v>-48.099999999999987</c:v>
                </c:pt>
                <c:pt idx="4">
                  <c:v>-46.79999999999999</c:v>
                </c:pt>
                <c:pt idx="5">
                  <c:v>-45.499999999999993</c:v>
                </c:pt>
                <c:pt idx="6">
                  <c:v>-44.199999999999996</c:v>
                </c:pt>
                <c:pt idx="7">
                  <c:v>-42.9</c:v>
                </c:pt>
                <c:pt idx="8">
                  <c:v>-41.6</c:v>
                </c:pt>
                <c:pt idx="9">
                  <c:v>-40.29999999999999</c:v>
                </c:pt>
                <c:pt idx="10">
                  <c:v>-38.999999999999993</c:v>
                </c:pt>
                <c:pt idx="11">
                  <c:v>-37.699999999999996</c:v>
                </c:pt>
                <c:pt idx="12">
                  <c:v>-36.4</c:v>
                </c:pt>
                <c:pt idx="13">
                  <c:v>-35.1</c:v>
                </c:pt>
                <c:pt idx="14">
                  <c:v>-33.800000000000004</c:v>
                </c:pt>
                <c:pt idx="15">
                  <c:v>-32.500000000000007</c:v>
                </c:pt>
                <c:pt idx="16">
                  <c:v>-31.200000000000006</c:v>
                </c:pt>
                <c:pt idx="17">
                  <c:v>-29.900000000000006</c:v>
                </c:pt>
                <c:pt idx="18">
                  <c:v>-28.600000000000005</c:v>
                </c:pt>
                <c:pt idx="19">
                  <c:v>-27.300000000000004</c:v>
                </c:pt>
                <c:pt idx="20">
                  <c:v>-26.000000000000004</c:v>
                </c:pt>
                <c:pt idx="21">
                  <c:v>-24.700000000000003</c:v>
                </c:pt>
                <c:pt idx="22">
                  <c:v>-23.400000000000002</c:v>
                </c:pt>
                <c:pt idx="23">
                  <c:v>-22.1</c:v>
                </c:pt>
                <c:pt idx="24">
                  <c:v>-20.8</c:v>
                </c:pt>
                <c:pt idx="25">
                  <c:v>-19.500000000000004</c:v>
                </c:pt>
                <c:pt idx="26">
                  <c:v>-18.200000000000003</c:v>
                </c:pt>
                <c:pt idx="27">
                  <c:v>-16.900000000000002</c:v>
                </c:pt>
                <c:pt idx="28">
                  <c:v>-15.600000000000003</c:v>
                </c:pt>
                <c:pt idx="29">
                  <c:v>-14.300000000000002</c:v>
                </c:pt>
                <c:pt idx="30">
                  <c:v>-13.000000000000002</c:v>
                </c:pt>
                <c:pt idx="31">
                  <c:v>-11.700000000000001</c:v>
                </c:pt>
                <c:pt idx="32">
                  <c:v>-10.4</c:v>
                </c:pt>
                <c:pt idx="33">
                  <c:v>-9.1</c:v>
                </c:pt>
                <c:pt idx="34">
                  <c:v>-7.8</c:v>
                </c:pt>
                <c:pt idx="35">
                  <c:v>-6.5</c:v>
                </c:pt>
                <c:pt idx="36">
                  <c:v>-5.2</c:v>
                </c:pt>
                <c:pt idx="37">
                  <c:v>-3.9000000000000004</c:v>
                </c:pt>
                <c:pt idx="38">
                  <c:v>-2.6</c:v>
                </c:pt>
                <c:pt idx="39">
                  <c:v>-1.3</c:v>
                </c:pt>
                <c:pt idx="40">
                  <c:v>0</c:v>
                </c:pt>
                <c:pt idx="41">
                  <c:v>1.3</c:v>
                </c:pt>
                <c:pt idx="42">
                  <c:v>2.6</c:v>
                </c:pt>
                <c:pt idx="43">
                  <c:v>3.9000000000000004</c:v>
                </c:pt>
                <c:pt idx="44">
                  <c:v>5.2</c:v>
                </c:pt>
                <c:pt idx="45">
                  <c:v>6.5</c:v>
                </c:pt>
                <c:pt idx="46">
                  <c:v>7.8</c:v>
                </c:pt>
                <c:pt idx="47">
                  <c:v>9.1</c:v>
                </c:pt>
                <c:pt idx="48">
                  <c:v>10.4</c:v>
                </c:pt>
                <c:pt idx="49">
                  <c:v>11.700000000000001</c:v>
                </c:pt>
                <c:pt idx="50">
                  <c:v>13.000000000000002</c:v>
                </c:pt>
                <c:pt idx="51">
                  <c:v>14.300000000000002</c:v>
                </c:pt>
                <c:pt idx="52">
                  <c:v>15.600000000000003</c:v>
                </c:pt>
                <c:pt idx="53">
                  <c:v>16.900000000000002</c:v>
                </c:pt>
                <c:pt idx="54">
                  <c:v>18.200000000000003</c:v>
                </c:pt>
                <c:pt idx="55">
                  <c:v>19.500000000000004</c:v>
                </c:pt>
                <c:pt idx="56">
                  <c:v>20.800000000000004</c:v>
                </c:pt>
                <c:pt idx="57">
                  <c:v>22.100000000000005</c:v>
                </c:pt>
                <c:pt idx="58">
                  <c:v>23.400000000000006</c:v>
                </c:pt>
                <c:pt idx="59">
                  <c:v>24.700000000000006</c:v>
                </c:pt>
                <c:pt idx="60">
                  <c:v>26.000000000000007</c:v>
                </c:pt>
                <c:pt idx="61">
                  <c:v>27.300000000000008</c:v>
                </c:pt>
                <c:pt idx="62">
                  <c:v>28.600000000000009</c:v>
                </c:pt>
                <c:pt idx="63">
                  <c:v>29.900000000000009</c:v>
                </c:pt>
                <c:pt idx="64">
                  <c:v>31.20000000000001</c:v>
                </c:pt>
                <c:pt idx="65">
                  <c:v>32.500000000000007</c:v>
                </c:pt>
                <c:pt idx="66">
                  <c:v>33.800000000000004</c:v>
                </c:pt>
                <c:pt idx="67">
                  <c:v>35.1</c:v>
                </c:pt>
                <c:pt idx="68">
                  <c:v>36.4</c:v>
                </c:pt>
                <c:pt idx="69">
                  <c:v>37.699999999999996</c:v>
                </c:pt>
                <c:pt idx="70">
                  <c:v>38.999999999999993</c:v>
                </c:pt>
                <c:pt idx="71">
                  <c:v>40.29999999999999</c:v>
                </c:pt>
                <c:pt idx="72">
                  <c:v>41.599999999999987</c:v>
                </c:pt>
                <c:pt idx="73">
                  <c:v>42.899999999999984</c:v>
                </c:pt>
                <c:pt idx="74">
                  <c:v>44.199999999999982</c:v>
                </c:pt>
                <c:pt idx="75">
                  <c:v>45.499999999999979</c:v>
                </c:pt>
                <c:pt idx="76">
                  <c:v>46.799999999999976</c:v>
                </c:pt>
                <c:pt idx="77">
                  <c:v>48.099999999999973</c:v>
                </c:pt>
                <c:pt idx="78">
                  <c:v>49.39999999999997</c:v>
                </c:pt>
                <c:pt idx="79">
                  <c:v>50.699999999999967</c:v>
                </c:pt>
                <c:pt idx="80">
                  <c:v>51.999999999999964</c:v>
                </c:pt>
              </c:numCache>
            </c:numRef>
          </c:cat>
          <c:val>
            <c:numRef>
              <c:f>'背隙&amp;转动刚度'!$AB$22:$DD$22</c:f>
              <c:numCache>
                <c:formatCode>General</c:formatCode>
                <c:ptCount val="81"/>
                <c:pt idx="0">
                  <c:v>-412.5</c:v>
                </c:pt>
                <c:pt idx="1">
                  <c:v>-412.05</c:v>
                </c:pt>
                <c:pt idx="2">
                  <c:v>-411.34</c:v>
                </c:pt>
                <c:pt idx="3">
                  <c:v>-407.77</c:v>
                </c:pt>
                <c:pt idx="4">
                  <c:v>-409.32</c:v>
                </c:pt>
                <c:pt idx="5">
                  <c:v>-404.62</c:v>
                </c:pt>
                <c:pt idx="6">
                  <c:v>-406.31</c:v>
                </c:pt>
                <c:pt idx="7">
                  <c:v>-402.26</c:v>
                </c:pt>
                <c:pt idx="8">
                  <c:v>-401.49</c:v>
                </c:pt>
                <c:pt idx="9">
                  <c:v>-399.82</c:v>
                </c:pt>
                <c:pt idx="10">
                  <c:v>-397.09</c:v>
                </c:pt>
                <c:pt idx="11">
                  <c:v>-394.05</c:v>
                </c:pt>
                <c:pt idx="12">
                  <c:v>-390.68</c:v>
                </c:pt>
                <c:pt idx="13">
                  <c:v>-386.97</c:v>
                </c:pt>
                <c:pt idx="14">
                  <c:v>-382.88</c:v>
                </c:pt>
                <c:pt idx="15">
                  <c:v>-378.4</c:v>
                </c:pt>
                <c:pt idx="16">
                  <c:v>-373.5</c:v>
                </c:pt>
                <c:pt idx="17">
                  <c:v>-368.13</c:v>
                </c:pt>
                <c:pt idx="18">
                  <c:v>-362.26</c:v>
                </c:pt>
                <c:pt idx="19">
                  <c:v>-355.83</c:v>
                </c:pt>
                <c:pt idx="20">
                  <c:v>-348.79</c:v>
                </c:pt>
                <c:pt idx="21">
                  <c:v>-341.07</c:v>
                </c:pt>
                <c:pt idx="22">
                  <c:v>-332.64</c:v>
                </c:pt>
                <c:pt idx="23">
                  <c:v>-323.45999999999998</c:v>
                </c:pt>
                <c:pt idx="24">
                  <c:v>-313.51</c:v>
                </c:pt>
                <c:pt idx="25">
                  <c:v>-302.77</c:v>
                </c:pt>
                <c:pt idx="26">
                  <c:v>-291.2</c:v>
                </c:pt>
                <c:pt idx="27">
                  <c:v>-278.79000000000002</c:v>
                </c:pt>
                <c:pt idx="28">
                  <c:v>-265.52</c:v>
                </c:pt>
                <c:pt idx="29">
                  <c:v>-251.37</c:v>
                </c:pt>
                <c:pt idx="30">
                  <c:v>-235.33</c:v>
                </c:pt>
                <c:pt idx="31">
                  <c:v>-220.46</c:v>
                </c:pt>
                <c:pt idx="32">
                  <c:v>-203.71</c:v>
                </c:pt>
                <c:pt idx="33">
                  <c:v>-186.13</c:v>
                </c:pt>
                <c:pt idx="34">
                  <c:v>-167.78</c:v>
                </c:pt>
                <c:pt idx="35">
                  <c:v>-148.71</c:v>
                </c:pt>
                <c:pt idx="36">
                  <c:v>-129.02000000000001</c:v>
                </c:pt>
                <c:pt idx="37">
                  <c:v>-108.79</c:v>
                </c:pt>
                <c:pt idx="38">
                  <c:v>-88.16</c:v>
                </c:pt>
                <c:pt idx="39">
                  <c:v>-67.25</c:v>
                </c:pt>
                <c:pt idx="40">
                  <c:v>-46.22</c:v>
                </c:pt>
                <c:pt idx="41">
                  <c:v>-25.22</c:v>
                </c:pt>
                <c:pt idx="42">
                  <c:v>-4.33</c:v>
                </c:pt>
                <c:pt idx="43">
                  <c:v>16.329999999999998</c:v>
                </c:pt>
                <c:pt idx="44">
                  <c:v>36.68</c:v>
                </c:pt>
                <c:pt idx="45">
                  <c:v>56.64</c:v>
                </c:pt>
                <c:pt idx="46">
                  <c:v>76.13</c:v>
                </c:pt>
                <c:pt idx="47">
                  <c:v>95.09</c:v>
                </c:pt>
                <c:pt idx="48">
                  <c:v>113.47</c:v>
                </c:pt>
                <c:pt idx="49">
                  <c:v>131.22999999999999</c:v>
                </c:pt>
                <c:pt idx="50">
                  <c:v>148.34</c:v>
                </c:pt>
                <c:pt idx="51">
                  <c:v>164.77</c:v>
                </c:pt>
                <c:pt idx="52">
                  <c:v>180.51</c:v>
                </c:pt>
                <c:pt idx="53">
                  <c:v>195.56</c:v>
                </c:pt>
                <c:pt idx="54">
                  <c:v>209.92</c:v>
                </c:pt>
                <c:pt idx="55">
                  <c:v>223.59</c:v>
                </c:pt>
                <c:pt idx="56">
                  <c:v>236.6</c:v>
                </c:pt>
                <c:pt idx="57">
                  <c:v>248.94</c:v>
                </c:pt>
                <c:pt idx="58">
                  <c:v>260.64999999999998</c:v>
                </c:pt>
                <c:pt idx="59">
                  <c:v>271.73</c:v>
                </c:pt>
                <c:pt idx="60">
                  <c:v>282.20999999999998</c:v>
                </c:pt>
                <c:pt idx="61">
                  <c:v>292.12</c:v>
                </c:pt>
                <c:pt idx="62">
                  <c:v>301.5</c:v>
                </c:pt>
                <c:pt idx="63">
                  <c:v>310.39999999999998</c:v>
                </c:pt>
                <c:pt idx="64">
                  <c:v>318.85000000000002</c:v>
                </c:pt>
                <c:pt idx="65">
                  <c:v>326.89999999999998</c:v>
                </c:pt>
                <c:pt idx="66">
                  <c:v>334.58</c:v>
                </c:pt>
                <c:pt idx="67">
                  <c:v>341.9</c:v>
                </c:pt>
                <c:pt idx="68">
                  <c:v>348.89</c:v>
                </c:pt>
                <c:pt idx="69">
                  <c:v>355.57</c:v>
                </c:pt>
                <c:pt idx="70">
                  <c:v>361.95</c:v>
                </c:pt>
                <c:pt idx="71">
                  <c:v>368.07</c:v>
                </c:pt>
                <c:pt idx="72">
                  <c:v>373.91</c:v>
                </c:pt>
                <c:pt idx="73">
                  <c:v>379.51</c:v>
                </c:pt>
                <c:pt idx="74">
                  <c:v>384.87</c:v>
                </c:pt>
                <c:pt idx="75">
                  <c:v>390</c:v>
                </c:pt>
                <c:pt idx="76">
                  <c:v>394.91</c:v>
                </c:pt>
                <c:pt idx="77">
                  <c:v>399.61</c:v>
                </c:pt>
                <c:pt idx="78">
                  <c:v>404.1</c:v>
                </c:pt>
                <c:pt idx="79">
                  <c:v>407.77</c:v>
                </c:pt>
                <c:pt idx="80">
                  <c:v>412.5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C0-4FFA-A880-DC48C80C5EFB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'背隙&amp;转动刚度'!$AB$21:$DD$21</c:f>
              <c:numCache>
                <c:formatCode>General</c:formatCode>
                <c:ptCount val="81"/>
                <c:pt idx="0">
                  <c:v>-51.999999999999979</c:v>
                </c:pt>
                <c:pt idx="1">
                  <c:v>-50.699999999999982</c:v>
                </c:pt>
                <c:pt idx="2">
                  <c:v>-49.399999999999984</c:v>
                </c:pt>
                <c:pt idx="3">
                  <c:v>-48.099999999999987</c:v>
                </c:pt>
                <c:pt idx="4">
                  <c:v>-46.79999999999999</c:v>
                </c:pt>
                <c:pt idx="5">
                  <c:v>-45.499999999999993</c:v>
                </c:pt>
                <c:pt idx="6">
                  <c:v>-44.199999999999996</c:v>
                </c:pt>
                <c:pt idx="7">
                  <c:v>-42.9</c:v>
                </c:pt>
                <c:pt idx="8">
                  <c:v>-41.6</c:v>
                </c:pt>
                <c:pt idx="9">
                  <c:v>-40.29999999999999</c:v>
                </c:pt>
                <c:pt idx="10">
                  <c:v>-38.999999999999993</c:v>
                </c:pt>
                <c:pt idx="11">
                  <c:v>-37.699999999999996</c:v>
                </c:pt>
                <c:pt idx="12">
                  <c:v>-36.4</c:v>
                </c:pt>
                <c:pt idx="13">
                  <c:v>-35.1</c:v>
                </c:pt>
                <c:pt idx="14">
                  <c:v>-33.800000000000004</c:v>
                </c:pt>
                <c:pt idx="15">
                  <c:v>-32.500000000000007</c:v>
                </c:pt>
                <c:pt idx="16">
                  <c:v>-31.200000000000006</c:v>
                </c:pt>
                <c:pt idx="17">
                  <c:v>-29.900000000000006</c:v>
                </c:pt>
                <c:pt idx="18">
                  <c:v>-28.600000000000005</c:v>
                </c:pt>
                <c:pt idx="19">
                  <c:v>-27.300000000000004</c:v>
                </c:pt>
                <c:pt idx="20">
                  <c:v>-26.000000000000004</c:v>
                </c:pt>
                <c:pt idx="21">
                  <c:v>-24.700000000000003</c:v>
                </c:pt>
                <c:pt idx="22">
                  <c:v>-23.400000000000002</c:v>
                </c:pt>
                <c:pt idx="23">
                  <c:v>-22.1</c:v>
                </c:pt>
                <c:pt idx="24">
                  <c:v>-20.8</c:v>
                </c:pt>
                <c:pt idx="25">
                  <c:v>-19.500000000000004</c:v>
                </c:pt>
                <c:pt idx="26">
                  <c:v>-18.200000000000003</c:v>
                </c:pt>
                <c:pt idx="27">
                  <c:v>-16.900000000000002</c:v>
                </c:pt>
                <c:pt idx="28">
                  <c:v>-15.600000000000003</c:v>
                </c:pt>
                <c:pt idx="29">
                  <c:v>-14.300000000000002</c:v>
                </c:pt>
                <c:pt idx="30">
                  <c:v>-13.000000000000002</c:v>
                </c:pt>
                <c:pt idx="31">
                  <c:v>-11.700000000000001</c:v>
                </c:pt>
                <c:pt idx="32">
                  <c:v>-10.4</c:v>
                </c:pt>
                <c:pt idx="33">
                  <c:v>-9.1</c:v>
                </c:pt>
                <c:pt idx="34">
                  <c:v>-7.8</c:v>
                </c:pt>
                <c:pt idx="35">
                  <c:v>-6.5</c:v>
                </c:pt>
                <c:pt idx="36">
                  <c:v>-5.2</c:v>
                </c:pt>
                <c:pt idx="37">
                  <c:v>-3.9000000000000004</c:v>
                </c:pt>
                <c:pt idx="38">
                  <c:v>-2.6</c:v>
                </c:pt>
                <c:pt idx="39">
                  <c:v>-1.3</c:v>
                </c:pt>
                <c:pt idx="40">
                  <c:v>0</c:v>
                </c:pt>
                <c:pt idx="41">
                  <c:v>1.3</c:v>
                </c:pt>
                <c:pt idx="42">
                  <c:v>2.6</c:v>
                </c:pt>
                <c:pt idx="43">
                  <c:v>3.9000000000000004</c:v>
                </c:pt>
                <c:pt idx="44">
                  <c:v>5.2</c:v>
                </c:pt>
                <c:pt idx="45">
                  <c:v>6.5</c:v>
                </c:pt>
                <c:pt idx="46">
                  <c:v>7.8</c:v>
                </c:pt>
                <c:pt idx="47">
                  <c:v>9.1</c:v>
                </c:pt>
                <c:pt idx="48">
                  <c:v>10.4</c:v>
                </c:pt>
                <c:pt idx="49">
                  <c:v>11.700000000000001</c:v>
                </c:pt>
                <c:pt idx="50">
                  <c:v>13.000000000000002</c:v>
                </c:pt>
                <c:pt idx="51">
                  <c:v>14.300000000000002</c:v>
                </c:pt>
                <c:pt idx="52">
                  <c:v>15.600000000000003</c:v>
                </c:pt>
                <c:pt idx="53">
                  <c:v>16.900000000000002</c:v>
                </c:pt>
                <c:pt idx="54">
                  <c:v>18.200000000000003</c:v>
                </c:pt>
                <c:pt idx="55">
                  <c:v>19.500000000000004</c:v>
                </c:pt>
                <c:pt idx="56">
                  <c:v>20.800000000000004</c:v>
                </c:pt>
                <c:pt idx="57">
                  <c:v>22.100000000000005</c:v>
                </c:pt>
                <c:pt idx="58">
                  <c:v>23.400000000000006</c:v>
                </c:pt>
                <c:pt idx="59">
                  <c:v>24.700000000000006</c:v>
                </c:pt>
                <c:pt idx="60">
                  <c:v>26.000000000000007</c:v>
                </c:pt>
                <c:pt idx="61">
                  <c:v>27.300000000000008</c:v>
                </c:pt>
                <c:pt idx="62">
                  <c:v>28.600000000000009</c:v>
                </c:pt>
                <c:pt idx="63">
                  <c:v>29.900000000000009</c:v>
                </c:pt>
                <c:pt idx="64">
                  <c:v>31.20000000000001</c:v>
                </c:pt>
                <c:pt idx="65">
                  <c:v>32.500000000000007</c:v>
                </c:pt>
                <c:pt idx="66">
                  <c:v>33.800000000000004</c:v>
                </c:pt>
                <c:pt idx="67">
                  <c:v>35.1</c:v>
                </c:pt>
                <c:pt idx="68">
                  <c:v>36.4</c:v>
                </c:pt>
                <c:pt idx="69">
                  <c:v>37.699999999999996</c:v>
                </c:pt>
                <c:pt idx="70">
                  <c:v>38.999999999999993</c:v>
                </c:pt>
                <c:pt idx="71">
                  <c:v>40.29999999999999</c:v>
                </c:pt>
                <c:pt idx="72">
                  <c:v>41.599999999999987</c:v>
                </c:pt>
                <c:pt idx="73">
                  <c:v>42.899999999999984</c:v>
                </c:pt>
                <c:pt idx="74">
                  <c:v>44.199999999999982</c:v>
                </c:pt>
                <c:pt idx="75">
                  <c:v>45.499999999999979</c:v>
                </c:pt>
                <c:pt idx="76">
                  <c:v>46.799999999999976</c:v>
                </c:pt>
                <c:pt idx="77">
                  <c:v>48.099999999999973</c:v>
                </c:pt>
                <c:pt idx="78">
                  <c:v>49.39999999999997</c:v>
                </c:pt>
                <c:pt idx="79">
                  <c:v>50.699999999999967</c:v>
                </c:pt>
                <c:pt idx="80">
                  <c:v>51.999999999999964</c:v>
                </c:pt>
              </c:numCache>
            </c:numRef>
          </c:cat>
          <c:val>
            <c:numRef>
              <c:f>'背隙&amp;转动刚度'!$AB$23:$DD$23</c:f>
              <c:numCache>
                <c:formatCode>General</c:formatCode>
                <c:ptCount val="81"/>
                <c:pt idx="0">
                  <c:v>-412.5</c:v>
                </c:pt>
                <c:pt idx="1">
                  <c:v>-407.77</c:v>
                </c:pt>
                <c:pt idx="2">
                  <c:v>-404.1</c:v>
                </c:pt>
                <c:pt idx="3">
                  <c:v>-399.61</c:v>
                </c:pt>
                <c:pt idx="4">
                  <c:v>-394.91</c:v>
                </c:pt>
                <c:pt idx="5">
                  <c:v>-390</c:v>
                </c:pt>
                <c:pt idx="6">
                  <c:v>-384.87</c:v>
                </c:pt>
                <c:pt idx="7">
                  <c:v>-379.51</c:v>
                </c:pt>
                <c:pt idx="8">
                  <c:v>-373.91</c:v>
                </c:pt>
                <c:pt idx="9">
                  <c:v>-368.07</c:v>
                </c:pt>
                <c:pt idx="10">
                  <c:v>-361.95</c:v>
                </c:pt>
                <c:pt idx="11">
                  <c:v>-355.57</c:v>
                </c:pt>
                <c:pt idx="12">
                  <c:v>-348.89</c:v>
                </c:pt>
                <c:pt idx="13">
                  <c:v>-341.9</c:v>
                </c:pt>
                <c:pt idx="14">
                  <c:v>-334.58</c:v>
                </c:pt>
                <c:pt idx="15">
                  <c:v>-326.89999999999998</c:v>
                </c:pt>
                <c:pt idx="16">
                  <c:v>-318.85000000000002</c:v>
                </c:pt>
                <c:pt idx="17">
                  <c:v>-310.39999999999998</c:v>
                </c:pt>
                <c:pt idx="18">
                  <c:v>-301.5</c:v>
                </c:pt>
                <c:pt idx="19">
                  <c:v>-292.12</c:v>
                </c:pt>
                <c:pt idx="20">
                  <c:v>-282.20999999999998</c:v>
                </c:pt>
                <c:pt idx="21">
                  <c:v>-271.73</c:v>
                </c:pt>
                <c:pt idx="22">
                  <c:v>-260.64999999999998</c:v>
                </c:pt>
                <c:pt idx="23">
                  <c:v>-248.94</c:v>
                </c:pt>
                <c:pt idx="24">
                  <c:v>-236.6</c:v>
                </c:pt>
                <c:pt idx="25">
                  <c:v>-223.59</c:v>
                </c:pt>
                <c:pt idx="26">
                  <c:v>-209.92</c:v>
                </c:pt>
                <c:pt idx="27">
                  <c:v>-195.56</c:v>
                </c:pt>
                <c:pt idx="28">
                  <c:v>-180.51</c:v>
                </c:pt>
                <c:pt idx="29">
                  <c:v>-164.77</c:v>
                </c:pt>
                <c:pt idx="30">
                  <c:v>-148.34</c:v>
                </c:pt>
                <c:pt idx="31">
                  <c:v>-131.22999999999999</c:v>
                </c:pt>
                <c:pt idx="32">
                  <c:v>-113.47</c:v>
                </c:pt>
                <c:pt idx="33">
                  <c:v>-95.09</c:v>
                </c:pt>
                <c:pt idx="34">
                  <c:v>-76.13</c:v>
                </c:pt>
                <c:pt idx="35">
                  <c:v>-56.64</c:v>
                </c:pt>
                <c:pt idx="36">
                  <c:v>-36.68</c:v>
                </c:pt>
                <c:pt idx="37">
                  <c:v>-16.329999999999998</c:v>
                </c:pt>
                <c:pt idx="38">
                  <c:v>4.33</c:v>
                </c:pt>
                <c:pt idx="39">
                  <c:v>25.22</c:v>
                </c:pt>
                <c:pt idx="40">
                  <c:v>46.22</c:v>
                </c:pt>
                <c:pt idx="41">
                  <c:v>67.25</c:v>
                </c:pt>
                <c:pt idx="42">
                  <c:v>88.16</c:v>
                </c:pt>
                <c:pt idx="43">
                  <c:v>108.79</c:v>
                </c:pt>
                <c:pt idx="44">
                  <c:v>129.02000000000001</c:v>
                </c:pt>
                <c:pt idx="45">
                  <c:v>148.71</c:v>
                </c:pt>
                <c:pt idx="46">
                  <c:v>167.78</c:v>
                </c:pt>
                <c:pt idx="47">
                  <c:v>186.13</c:v>
                </c:pt>
                <c:pt idx="48">
                  <c:v>203.71</c:v>
                </c:pt>
                <c:pt idx="49">
                  <c:v>220.46</c:v>
                </c:pt>
                <c:pt idx="50">
                  <c:v>235.33</c:v>
                </c:pt>
                <c:pt idx="51">
                  <c:v>251.37</c:v>
                </c:pt>
                <c:pt idx="52">
                  <c:v>265.52</c:v>
                </c:pt>
                <c:pt idx="53">
                  <c:v>278.79000000000002</c:v>
                </c:pt>
                <c:pt idx="54">
                  <c:v>291.2</c:v>
                </c:pt>
                <c:pt idx="55">
                  <c:v>302.77</c:v>
                </c:pt>
                <c:pt idx="56">
                  <c:v>313.51</c:v>
                </c:pt>
                <c:pt idx="57">
                  <c:v>323.45999999999998</c:v>
                </c:pt>
                <c:pt idx="58">
                  <c:v>332.64</c:v>
                </c:pt>
                <c:pt idx="59">
                  <c:v>341.07</c:v>
                </c:pt>
                <c:pt idx="60">
                  <c:v>348.79</c:v>
                </c:pt>
                <c:pt idx="61">
                  <c:v>355.83</c:v>
                </c:pt>
                <c:pt idx="62">
                  <c:v>362.26</c:v>
                </c:pt>
                <c:pt idx="63">
                  <c:v>368.13</c:v>
                </c:pt>
                <c:pt idx="64">
                  <c:v>373.5</c:v>
                </c:pt>
                <c:pt idx="65">
                  <c:v>378.4</c:v>
                </c:pt>
                <c:pt idx="66">
                  <c:v>382.88</c:v>
                </c:pt>
                <c:pt idx="67">
                  <c:v>386.97</c:v>
                </c:pt>
                <c:pt idx="68">
                  <c:v>390.68</c:v>
                </c:pt>
                <c:pt idx="69">
                  <c:v>394.05</c:v>
                </c:pt>
                <c:pt idx="70">
                  <c:v>397.09</c:v>
                </c:pt>
                <c:pt idx="71">
                  <c:v>399.82</c:v>
                </c:pt>
                <c:pt idx="72">
                  <c:v>401.49</c:v>
                </c:pt>
                <c:pt idx="73">
                  <c:v>402.26</c:v>
                </c:pt>
                <c:pt idx="74">
                  <c:v>406.31</c:v>
                </c:pt>
                <c:pt idx="75">
                  <c:v>404.62</c:v>
                </c:pt>
                <c:pt idx="76">
                  <c:v>409.32</c:v>
                </c:pt>
                <c:pt idx="77">
                  <c:v>407.77</c:v>
                </c:pt>
                <c:pt idx="78">
                  <c:v>411.34</c:v>
                </c:pt>
                <c:pt idx="79">
                  <c:v>412.05</c:v>
                </c:pt>
                <c:pt idx="80">
                  <c:v>412.5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C0-4FFA-A880-DC48C80C5EFB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'背隙&amp;转动刚度'!$AB$21:$DD$21</c:f>
              <c:numCache>
                <c:formatCode>General</c:formatCode>
                <c:ptCount val="81"/>
                <c:pt idx="0">
                  <c:v>-51.999999999999979</c:v>
                </c:pt>
                <c:pt idx="1">
                  <c:v>-50.699999999999982</c:v>
                </c:pt>
                <c:pt idx="2">
                  <c:v>-49.399999999999984</c:v>
                </c:pt>
                <c:pt idx="3">
                  <c:v>-48.099999999999987</c:v>
                </c:pt>
                <c:pt idx="4">
                  <c:v>-46.79999999999999</c:v>
                </c:pt>
                <c:pt idx="5">
                  <c:v>-45.499999999999993</c:v>
                </c:pt>
                <c:pt idx="6">
                  <c:v>-44.199999999999996</c:v>
                </c:pt>
                <c:pt idx="7">
                  <c:v>-42.9</c:v>
                </c:pt>
                <c:pt idx="8">
                  <c:v>-41.6</c:v>
                </c:pt>
                <c:pt idx="9">
                  <c:v>-40.29999999999999</c:v>
                </c:pt>
                <c:pt idx="10">
                  <c:v>-38.999999999999993</c:v>
                </c:pt>
                <c:pt idx="11">
                  <c:v>-37.699999999999996</c:v>
                </c:pt>
                <c:pt idx="12">
                  <c:v>-36.4</c:v>
                </c:pt>
                <c:pt idx="13">
                  <c:v>-35.1</c:v>
                </c:pt>
                <c:pt idx="14">
                  <c:v>-33.800000000000004</c:v>
                </c:pt>
                <c:pt idx="15">
                  <c:v>-32.500000000000007</c:v>
                </c:pt>
                <c:pt idx="16">
                  <c:v>-31.200000000000006</c:v>
                </c:pt>
                <c:pt idx="17">
                  <c:v>-29.900000000000006</c:v>
                </c:pt>
                <c:pt idx="18">
                  <c:v>-28.600000000000005</c:v>
                </c:pt>
                <c:pt idx="19">
                  <c:v>-27.300000000000004</c:v>
                </c:pt>
                <c:pt idx="20">
                  <c:v>-26.000000000000004</c:v>
                </c:pt>
                <c:pt idx="21">
                  <c:v>-24.700000000000003</c:v>
                </c:pt>
                <c:pt idx="22">
                  <c:v>-23.400000000000002</c:v>
                </c:pt>
                <c:pt idx="23">
                  <c:v>-22.1</c:v>
                </c:pt>
                <c:pt idx="24">
                  <c:v>-20.8</c:v>
                </c:pt>
                <c:pt idx="25">
                  <c:v>-19.500000000000004</c:v>
                </c:pt>
                <c:pt idx="26">
                  <c:v>-18.200000000000003</c:v>
                </c:pt>
                <c:pt idx="27">
                  <c:v>-16.900000000000002</c:v>
                </c:pt>
                <c:pt idx="28">
                  <c:v>-15.600000000000003</c:v>
                </c:pt>
                <c:pt idx="29">
                  <c:v>-14.300000000000002</c:v>
                </c:pt>
                <c:pt idx="30">
                  <c:v>-13.000000000000002</c:v>
                </c:pt>
                <c:pt idx="31">
                  <c:v>-11.700000000000001</c:v>
                </c:pt>
                <c:pt idx="32">
                  <c:v>-10.4</c:v>
                </c:pt>
                <c:pt idx="33">
                  <c:v>-9.1</c:v>
                </c:pt>
                <c:pt idx="34">
                  <c:v>-7.8</c:v>
                </c:pt>
                <c:pt idx="35">
                  <c:v>-6.5</c:v>
                </c:pt>
                <c:pt idx="36">
                  <c:v>-5.2</c:v>
                </c:pt>
                <c:pt idx="37">
                  <c:v>-3.9000000000000004</c:v>
                </c:pt>
                <c:pt idx="38">
                  <c:v>-2.6</c:v>
                </c:pt>
                <c:pt idx="39">
                  <c:v>-1.3</c:v>
                </c:pt>
                <c:pt idx="40">
                  <c:v>0</c:v>
                </c:pt>
                <c:pt idx="41">
                  <c:v>1.3</c:v>
                </c:pt>
                <c:pt idx="42">
                  <c:v>2.6</c:v>
                </c:pt>
                <c:pt idx="43">
                  <c:v>3.9000000000000004</c:v>
                </c:pt>
                <c:pt idx="44">
                  <c:v>5.2</c:v>
                </c:pt>
                <c:pt idx="45">
                  <c:v>6.5</c:v>
                </c:pt>
                <c:pt idx="46">
                  <c:v>7.8</c:v>
                </c:pt>
                <c:pt idx="47">
                  <c:v>9.1</c:v>
                </c:pt>
                <c:pt idx="48">
                  <c:v>10.4</c:v>
                </c:pt>
                <c:pt idx="49">
                  <c:v>11.700000000000001</c:v>
                </c:pt>
                <c:pt idx="50">
                  <c:v>13.000000000000002</c:v>
                </c:pt>
                <c:pt idx="51">
                  <c:v>14.300000000000002</c:v>
                </c:pt>
                <c:pt idx="52">
                  <c:v>15.600000000000003</c:v>
                </c:pt>
                <c:pt idx="53">
                  <c:v>16.900000000000002</c:v>
                </c:pt>
                <c:pt idx="54">
                  <c:v>18.200000000000003</c:v>
                </c:pt>
                <c:pt idx="55">
                  <c:v>19.500000000000004</c:v>
                </c:pt>
                <c:pt idx="56">
                  <c:v>20.800000000000004</c:v>
                </c:pt>
                <c:pt idx="57">
                  <c:v>22.100000000000005</c:v>
                </c:pt>
                <c:pt idx="58">
                  <c:v>23.400000000000006</c:v>
                </c:pt>
                <c:pt idx="59">
                  <c:v>24.700000000000006</c:v>
                </c:pt>
                <c:pt idx="60">
                  <c:v>26.000000000000007</c:v>
                </c:pt>
                <c:pt idx="61">
                  <c:v>27.300000000000008</c:v>
                </c:pt>
                <c:pt idx="62">
                  <c:v>28.600000000000009</c:v>
                </c:pt>
                <c:pt idx="63">
                  <c:v>29.900000000000009</c:v>
                </c:pt>
                <c:pt idx="64">
                  <c:v>31.20000000000001</c:v>
                </c:pt>
                <c:pt idx="65">
                  <c:v>32.500000000000007</c:v>
                </c:pt>
                <c:pt idx="66">
                  <c:v>33.800000000000004</c:v>
                </c:pt>
                <c:pt idx="67">
                  <c:v>35.1</c:v>
                </c:pt>
                <c:pt idx="68">
                  <c:v>36.4</c:v>
                </c:pt>
                <c:pt idx="69">
                  <c:v>37.699999999999996</c:v>
                </c:pt>
                <c:pt idx="70">
                  <c:v>38.999999999999993</c:v>
                </c:pt>
                <c:pt idx="71">
                  <c:v>40.29999999999999</c:v>
                </c:pt>
                <c:pt idx="72">
                  <c:v>41.599999999999987</c:v>
                </c:pt>
                <c:pt idx="73">
                  <c:v>42.899999999999984</c:v>
                </c:pt>
                <c:pt idx="74">
                  <c:v>44.199999999999982</c:v>
                </c:pt>
                <c:pt idx="75">
                  <c:v>45.499999999999979</c:v>
                </c:pt>
                <c:pt idx="76">
                  <c:v>46.799999999999976</c:v>
                </c:pt>
                <c:pt idx="77">
                  <c:v>48.099999999999973</c:v>
                </c:pt>
                <c:pt idx="78">
                  <c:v>49.39999999999997</c:v>
                </c:pt>
                <c:pt idx="79">
                  <c:v>50.699999999999967</c:v>
                </c:pt>
                <c:pt idx="80">
                  <c:v>51.999999999999964</c:v>
                </c:pt>
              </c:numCache>
            </c:numRef>
          </c:cat>
          <c:val>
            <c:numRef>
              <c:f>'背隙&amp;转动刚度'!$AB$24:$DD$24</c:f>
              <c:numCache>
                <c:formatCode>General</c:formatCode>
                <c:ptCount val="81"/>
                <c:pt idx="0">
                  <c:v>-412.5</c:v>
                </c:pt>
                <c:pt idx="1">
                  <c:v>-410.22</c:v>
                </c:pt>
                <c:pt idx="2">
                  <c:v>-407.67</c:v>
                </c:pt>
                <c:pt idx="3">
                  <c:v>-404.88</c:v>
                </c:pt>
                <c:pt idx="4">
                  <c:v>-401.82</c:v>
                </c:pt>
                <c:pt idx="5">
                  <c:v>-398.52</c:v>
                </c:pt>
                <c:pt idx="6">
                  <c:v>-394.98</c:v>
                </c:pt>
                <c:pt idx="7">
                  <c:v>-391.19</c:v>
                </c:pt>
                <c:pt idx="8">
                  <c:v>-387.17</c:v>
                </c:pt>
                <c:pt idx="9">
                  <c:v>-382.91</c:v>
                </c:pt>
                <c:pt idx="10">
                  <c:v>-378.42</c:v>
                </c:pt>
                <c:pt idx="11">
                  <c:v>-373.7</c:v>
                </c:pt>
                <c:pt idx="12">
                  <c:v>-368.74</c:v>
                </c:pt>
                <c:pt idx="13">
                  <c:v>-363.5</c:v>
                </c:pt>
                <c:pt idx="14">
                  <c:v>-357.95</c:v>
                </c:pt>
                <c:pt idx="15">
                  <c:v>-352.05</c:v>
                </c:pt>
                <c:pt idx="16">
                  <c:v>-345.75</c:v>
                </c:pt>
                <c:pt idx="17">
                  <c:v>-339.01</c:v>
                </c:pt>
                <c:pt idx="18">
                  <c:v>-331.77</c:v>
                </c:pt>
                <c:pt idx="19">
                  <c:v>-323.95999999999998</c:v>
                </c:pt>
                <c:pt idx="20">
                  <c:v>-315.5</c:v>
                </c:pt>
                <c:pt idx="21">
                  <c:v>-306.3</c:v>
                </c:pt>
                <c:pt idx="22">
                  <c:v>-296.33999999999997</c:v>
                </c:pt>
                <c:pt idx="23">
                  <c:v>-285.58999999999997</c:v>
                </c:pt>
                <c:pt idx="24">
                  <c:v>-274.05</c:v>
                </c:pt>
                <c:pt idx="25">
                  <c:v>-261.72000000000003</c:v>
                </c:pt>
                <c:pt idx="26">
                  <c:v>-248.6</c:v>
                </c:pt>
                <c:pt idx="27">
                  <c:v>-234.7</c:v>
                </c:pt>
                <c:pt idx="28">
                  <c:v>-220.07</c:v>
                </c:pt>
                <c:pt idx="29">
                  <c:v>-204.73</c:v>
                </c:pt>
                <c:pt idx="30">
                  <c:v>-188.74</c:v>
                </c:pt>
                <c:pt idx="31">
                  <c:v>-172.18</c:v>
                </c:pt>
                <c:pt idx="32">
                  <c:v>-155.13999999999999</c:v>
                </c:pt>
                <c:pt idx="33">
                  <c:v>-137.74</c:v>
                </c:pt>
                <c:pt idx="34">
                  <c:v>-119.99</c:v>
                </c:pt>
                <c:pt idx="35">
                  <c:v>-101.81</c:v>
                </c:pt>
                <c:pt idx="36">
                  <c:v>-83.11</c:v>
                </c:pt>
                <c:pt idx="37">
                  <c:v>-63.74</c:v>
                </c:pt>
                <c:pt idx="38">
                  <c:v>-43.57</c:v>
                </c:pt>
                <c:pt idx="39">
                  <c:v>-22.41</c:v>
                </c:pt>
                <c:pt idx="40">
                  <c:v>0</c:v>
                </c:pt>
                <c:pt idx="41">
                  <c:v>22.41</c:v>
                </c:pt>
                <c:pt idx="42">
                  <c:v>43.57</c:v>
                </c:pt>
                <c:pt idx="43">
                  <c:v>63.74</c:v>
                </c:pt>
                <c:pt idx="44">
                  <c:v>83.11</c:v>
                </c:pt>
                <c:pt idx="45">
                  <c:v>101.81</c:v>
                </c:pt>
                <c:pt idx="46">
                  <c:v>119.99</c:v>
                </c:pt>
                <c:pt idx="47">
                  <c:v>137.74</c:v>
                </c:pt>
                <c:pt idx="48">
                  <c:v>155.13999999999999</c:v>
                </c:pt>
                <c:pt idx="49">
                  <c:v>172.18</c:v>
                </c:pt>
                <c:pt idx="50">
                  <c:v>188.74</c:v>
                </c:pt>
                <c:pt idx="51">
                  <c:v>204.73</c:v>
                </c:pt>
                <c:pt idx="52">
                  <c:v>220.07</c:v>
                </c:pt>
                <c:pt idx="53">
                  <c:v>234.7</c:v>
                </c:pt>
                <c:pt idx="54">
                  <c:v>248.6</c:v>
                </c:pt>
                <c:pt idx="55">
                  <c:v>261.72000000000003</c:v>
                </c:pt>
                <c:pt idx="56">
                  <c:v>274.05</c:v>
                </c:pt>
                <c:pt idx="57">
                  <c:v>285.58999999999997</c:v>
                </c:pt>
                <c:pt idx="58">
                  <c:v>296.33999999999997</c:v>
                </c:pt>
                <c:pt idx="59">
                  <c:v>306.3</c:v>
                </c:pt>
                <c:pt idx="60">
                  <c:v>315.5</c:v>
                </c:pt>
                <c:pt idx="61">
                  <c:v>323.95999999999998</c:v>
                </c:pt>
                <c:pt idx="62">
                  <c:v>331.77</c:v>
                </c:pt>
                <c:pt idx="63">
                  <c:v>339.01</c:v>
                </c:pt>
                <c:pt idx="64">
                  <c:v>345.75</c:v>
                </c:pt>
                <c:pt idx="65">
                  <c:v>352.05</c:v>
                </c:pt>
                <c:pt idx="66">
                  <c:v>357.95</c:v>
                </c:pt>
                <c:pt idx="67">
                  <c:v>363.5</c:v>
                </c:pt>
                <c:pt idx="68">
                  <c:v>368.74</c:v>
                </c:pt>
                <c:pt idx="69">
                  <c:v>373.7</c:v>
                </c:pt>
                <c:pt idx="70">
                  <c:v>378.42</c:v>
                </c:pt>
                <c:pt idx="71">
                  <c:v>382.91</c:v>
                </c:pt>
                <c:pt idx="72">
                  <c:v>387.17</c:v>
                </c:pt>
                <c:pt idx="73">
                  <c:v>391.19</c:v>
                </c:pt>
                <c:pt idx="74">
                  <c:v>394.98</c:v>
                </c:pt>
                <c:pt idx="75">
                  <c:v>398.52</c:v>
                </c:pt>
                <c:pt idx="76">
                  <c:v>401.82</c:v>
                </c:pt>
                <c:pt idx="77">
                  <c:v>404.88</c:v>
                </c:pt>
                <c:pt idx="78">
                  <c:v>407.67</c:v>
                </c:pt>
                <c:pt idx="79">
                  <c:v>410.22</c:v>
                </c:pt>
                <c:pt idx="80">
                  <c:v>412.5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C0-4FFA-A880-DC48C80C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161408"/>
        <c:axId val="263069200"/>
      </c:lineChart>
      <c:catAx>
        <c:axId val="29416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rgbClr val="0070C0"/>
            </a:solidFill>
            <a:round/>
            <a:headEnd type="non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3069200"/>
        <c:crosses val="autoZero"/>
        <c:auto val="1"/>
        <c:lblAlgn val="ctr"/>
        <c:lblOffset val="100"/>
        <c:tickLblSkip val="10"/>
        <c:noMultiLvlLbl val="0"/>
      </c:catAx>
      <c:valAx>
        <c:axId val="2630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9050">
            <a:solidFill>
              <a:schemeClr val="tx1"/>
            </a:solidFill>
            <a:tailEnd type="triangle" w="lg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416140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传动效率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传动效率!$B$7:$V$7</c:f>
              <c:numCache>
                <c:formatCode>General</c:formatCode>
                <c:ptCount val="21"/>
                <c:pt idx="0">
                  <c:v>0</c:v>
                </c:pt>
                <c:pt idx="1">
                  <c:v>2.6</c:v>
                </c:pt>
                <c:pt idx="2">
                  <c:v>5.2</c:v>
                </c:pt>
                <c:pt idx="3">
                  <c:v>7.8000000000000007</c:v>
                </c:pt>
                <c:pt idx="4">
                  <c:v>10.4</c:v>
                </c:pt>
                <c:pt idx="5">
                  <c:v>13</c:v>
                </c:pt>
                <c:pt idx="6">
                  <c:v>15.6</c:v>
                </c:pt>
                <c:pt idx="7">
                  <c:v>18.2</c:v>
                </c:pt>
                <c:pt idx="8">
                  <c:v>20.8</c:v>
                </c:pt>
                <c:pt idx="9">
                  <c:v>23.400000000000002</c:v>
                </c:pt>
                <c:pt idx="10">
                  <c:v>26.000000000000004</c:v>
                </c:pt>
                <c:pt idx="11">
                  <c:v>28.600000000000005</c:v>
                </c:pt>
                <c:pt idx="12">
                  <c:v>31.200000000000006</c:v>
                </c:pt>
                <c:pt idx="13">
                  <c:v>33.800000000000004</c:v>
                </c:pt>
                <c:pt idx="14">
                  <c:v>36.400000000000006</c:v>
                </c:pt>
                <c:pt idx="15">
                  <c:v>39.000000000000007</c:v>
                </c:pt>
                <c:pt idx="16">
                  <c:v>41.600000000000009</c:v>
                </c:pt>
                <c:pt idx="17">
                  <c:v>44.20000000000001</c:v>
                </c:pt>
                <c:pt idx="18">
                  <c:v>46.800000000000011</c:v>
                </c:pt>
                <c:pt idx="19">
                  <c:v>49.400000000000013</c:v>
                </c:pt>
                <c:pt idx="20">
                  <c:v>52.000000000000014</c:v>
                </c:pt>
              </c:numCache>
            </c:numRef>
          </c:cat>
          <c:val>
            <c:numRef>
              <c:f>传动效率!$B$9:$V$9</c:f>
              <c:numCache>
                <c:formatCode>General</c:formatCode>
                <c:ptCount val="21"/>
                <c:pt idx="0">
                  <c:v>0</c:v>
                </c:pt>
                <c:pt idx="1">
                  <c:v>0.13</c:v>
                </c:pt>
                <c:pt idx="2">
                  <c:v>0.22608695652173916</c:v>
                </c:pt>
                <c:pt idx="3">
                  <c:v>0.31325301204819272</c:v>
                </c:pt>
                <c:pt idx="4">
                  <c:v>0.41600000000000004</c:v>
                </c:pt>
                <c:pt idx="5">
                  <c:v>0.49808429118773945</c:v>
                </c:pt>
                <c:pt idx="6">
                  <c:v>0.56521739130434778</c:v>
                </c:pt>
                <c:pt idx="7">
                  <c:v>0.61694915254237281</c:v>
                </c:pt>
                <c:pt idx="8">
                  <c:v>0.65408805031446537</c:v>
                </c:pt>
                <c:pt idx="9">
                  <c:v>0.68621700879765402</c:v>
                </c:pt>
                <c:pt idx="10">
                  <c:v>0.73863636363636376</c:v>
                </c:pt>
                <c:pt idx="11">
                  <c:v>0.77088948787062017</c:v>
                </c:pt>
                <c:pt idx="12">
                  <c:v>0.82539682539682546</c:v>
                </c:pt>
                <c:pt idx="13">
                  <c:v>0.84500000000000008</c:v>
                </c:pt>
                <c:pt idx="14">
                  <c:v>0.86666666666666681</c:v>
                </c:pt>
                <c:pt idx="15">
                  <c:v>0.89449541284403689</c:v>
                </c:pt>
                <c:pt idx="16">
                  <c:v>0.88510638297872368</c:v>
                </c:pt>
                <c:pt idx="17">
                  <c:v>0.90204081632653088</c:v>
                </c:pt>
                <c:pt idx="18">
                  <c:v>0.91050583657587558</c:v>
                </c:pt>
                <c:pt idx="19">
                  <c:v>0.93560606060606089</c:v>
                </c:pt>
                <c:pt idx="20">
                  <c:v>0.94545454545454566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5-43FB-A474-CE4C747112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67689088"/>
        <c:axId val="1167677440"/>
      </c:lineChart>
      <c:catAx>
        <c:axId val="116768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输出扭矩</a:t>
                </a:r>
                <a:r>
                  <a:rPr lang="en-US" altLang="zh-CN"/>
                  <a:t>Nm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7677440"/>
        <c:crosses val="autoZero"/>
        <c:auto val="1"/>
        <c:lblAlgn val="ctr"/>
        <c:lblOffset val="100"/>
        <c:noMultiLvlLbl val="0"/>
      </c:catAx>
      <c:valAx>
        <c:axId val="1167677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效率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768908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635883711850068E-2"/>
          <c:y val="5.1000671203908866E-2"/>
          <c:w val="0.90642353202750481"/>
          <c:h val="0.88638851399303775"/>
        </c:manualLayout>
      </c:layout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3175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传动误差计算!$C$4:$AA$4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cat>
          <c:val>
            <c:numRef>
              <c:f>传动误差计算!$C$6:$AA$6</c:f>
              <c:numCache>
                <c:formatCode>0.00_ </c:formatCode>
                <c:ptCount val="25"/>
                <c:pt idx="0" formatCode="General">
                  <c:v>0</c:v>
                </c:pt>
                <c:pt idx="1">
                  <c:v>-42.006693865209307</c:v>
                </c:pt>
                <c:pt idx="2">
                  <c:v>-13.549566853612449</c:v>
                </c:pt>
                <c:pt idx="3">
                  <c:v>-38.937238968370039</c:v>
                </c:pt>
                <c:pt idx="4">
                  <c:v>38.85542437756888</c:v>
                </c:pt>
                <c:pt idx="5">
                  <c:v>-32.637053725181673</c:v>
                </c:pt>
                <c:pt idx="6">
                  <c:v>-15.375021902770492</c:v>
                </c:pt>
                <c:pt idx="7">
                  <c:v>29.30913637423258</c:v>
                </c:pt>
                <c:pt idx="8">
                  <c:v>29.460108039844513</c:v>
                </c:pt>
                <c:pt idx="9">
                  <c:v>41.773072727420455</c:v>
                </c:pt>
                <c:pt idx="10">
                  <c:v>43.157908711085327</c:v>
                </c:pt>
                <c:pt idx="11">
                  <c:v>13.943008530850499</c:v>
                </c:pt>
                <c:pt idx="12">
                  <c:v>6.1400772826598171</c:v>
                </c:pt>
                <c:pt idx="13">
                  <c:v>-30.948014122853486</c:v>
                </c:pt>
                <c:pt idx="14">
                  <c:v>-44.258783467387829</c:v>
                </c:pt>
                <c:pt idx="15">
                  <c:v>1.536294619439782</c:v>
                </c:pt>
                <c:pt idx="16">
                  <c:v>-16.59504386097117</c:v>
                </c:pt>
                <c:pt idx="17">
                  <c:v>-35.902421665510019</c:v>
                </c:pt>
                <c:pt idx="18">
                  <c:v>30.55510666551411</c:v>
                </c:pt>
                <c:pt idx="19">
                  <c:v>-18.133895035160762</c:v>
                </c:pt>
                <c:pt idx="20">
                  <c:v>29.502541924939162</c:v>
                </c:pt>
                <c:pt idx="21">
                  <c:v>36.203408613925248</c:v>
                </c:pt>
                <c:pt idx="22">
                  <c:v>23.51862677587382</c:v>
                </c:pt>
                <c:pt idx="23">
                  <c:v>13.820910700976018</c:v>
                </c:pt>
                <c:pt idx="24">
                  <c:v>40.373513208849573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8-4B59-A470-5931236C29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5933711"/>
        <c:axId val="415927887"/>
      </c:lineChart>
      <c:catAx>
        <c:axId val="41593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低速轴转角</a:t>
                </a:r>
              </a:p>
            </c:rich>
          </c:tx>
          <c:layout>
            <c:manualLayout>
              <c:xMode val="edge"/>
              <c:yMode val="edge"/>
              <c:x val="0.46241887584121188"/>
              <c:y val="0.8880267484781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27887"/>
        <c:crosses val="autoZero"/>
        <c:auto val="1"/>
        <c:lblAlgn val="ctr"/>
        <c:lblOffset val="100"/>
        <c:noMultiLvlLbl val="0"/>
      </c:catAx>
      <c:valAx>
        <c:axId val="415927887"/>
        <c:scaling>
          <c:orientation val="minMax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转角误差</a:t>
                </a:r>
              </a:p>
            </c:rich>
          </c:tx>
          <c:layout>
            <c:manualLayout>
              <c:xMode val="edge"/>
              <c:yMode val="edge"/>
              <c:x val="1.845444059976932E-2"/>
              <c:y val="0.36225422529427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3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0139727302635E-2"/>
          <c:y val="7.5992738489694414E-2"/>
          <c:w val="0.90642353202750481"/>
          <c:h val="0.88638851399303775"/>
        </c:manualLayout>
      </c:layout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[1]Sheet1!$C$5:$AA$5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cat>
          <c:val>
            <c:numRef>
              <c:f>[1]Sheet1!$C$7:$AA$7</c:f>
              <c:numCache>
                <c:formatCode>General</c:formatCode>
                <c:ptCount val="25"/>
                <c:pt idx="0">
                  <c:v>0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-30</c:v>
                </c:pt>
                <c:pt idx="5">
                  <c:v>30</c:v>
                </c:pt>
                <c:pt idx="6">
                  <c:v>-40</c:v>
                </c:pt>
                <c:pt idx="7">
                  <c:v>-20</c:v>
                </c:pt>
                <c:pt idx="8">
                  <c:v>-20</c:v>
                </c:pt>
                <c:pt idx="9">
                  <c:v>-50</c:v>
                </c:pt>
                <c:pt idx="10">
                  <c:v>0</c:v>
                </c:pt>
                <c:pt idx="11">
                  <c:v>30</c:v>
                </c:pt>
                <c:pt idx="12">
                  <c:v>-20</c:v>
                </c:pt>
                <c:pt idx="13">
                  <c:v>-10</c:v>
                </c:pt>
                <c:pt idx="14">
                  <c:v>-20</c:v>
                </c:pt>
                <c:pt idx="15">
                  <c:v>-10</c:v>
                </c:pt>
                <c:pt idx="16">
                  <c:v>-50</c:v>
                </c:pt>
                <c:pt idx="17">
                  <c:v>20</c:v>
                </c:pt>
                <c:pt idx="18">
                  <c:v>10</c:v>
                </c:pt>
                <c:pt idx="19">
                  <c:v>-50</c:v>
                </c:pt>
                <c:pt idx="20">
                  <c:v>0</c:v>
                </c:pt>
                <c:pt idx="21">
                  <c:v>20</c:v>
                </c:pt>
                <c:pt idx="22">
                  <c:v>0</c:v>
                </c:pt>
                <c:pt idx="23">
                  <c:v>10</c:v>
                </c:pt>
                <c:pt idx="24">
                  <c:v>-40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6-47AC-8C5E-422E6D51874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5933711"/>
        <c:axId val="415927887"/>
      </c:lineChart>
      <c:catAx>
        <c:axId val="41593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低速轴转角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27887"/>
        <c:crosses val="autoZero"/>
        <c:auto val="1"/>
        <c:lblAlgn val="ctr"/>
        <c:lblOffset val="100"/>
        <c:noMultiLvlLbl val="0"/>
      </c:catAx>
      <c:valAx>
        <c:axId val="415927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转角误差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93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</xdr:colOff>
      <xdr:row>8</xdr:row>
      <xdr:rowOff>55245</xdr:rowOff>
    </xdr:from>
    <xdr:ext cx="481029" cy="1874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文本框 18"/>
            <xdr:cNvSpPr txBox="1"/>
          </xdr:nvSpPr>
          <xdr:spPr>
            <a:xfrm>
              <a:off x="13731240" y="2512695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000" i="1">
                        <a:latin typeface="Cambria Math" panose="02040503050406030204" pitchFamily="18" charset="0"/>
                      </a:rPr>
                      <m:t>∆</m:t>
                    </m:r>
                    <m:sSub>
                      <m:sSubPr>
                        <m:ctrlPr>
                          <a:rPr lang="en-US" altLang="zh-CN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</m:e>
                      <m:sub>
                        <m:r>
                          <a:rPr lang="zh-CN" altLang="en-US" sz="1000" i="1">
                            <a:latin typeface="Cambria Math" panose="02040503050406030204" pitchFamily="18" charset="0"/>
                          </a:rPr>
                          <m:t>出</m:t>
                        </m:r>
                      </m:sub>
                    </m:sSub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000" b="0" i="1">
                        <a:latin typeface="Cambria Math" panose="02040503050406030204" pitchFamily="18" charset="0"/>
                      </a:rPr>
                      <m:t>″</m:t>
                    </m:r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000"/>
            </a:p>
          </xdr:txBody>
        </xdr:sp>
      </mc:Choice>
      <mc:Fallback xmlns="">
        <xdr:sp macro="" textlink="">
          <xdr:nvSpPr>
            <xdr:cNvPr id="19" name="文本框 18"/>
            <xdr:cNvSpPr txBox="1"/>
          </xdr:nvSpPr>
          <xdr:spPr>
            <a:xfrm>
              <a:off x="13731240" y="2512695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000" i="0">
                  <a:latin typeface="Cambria Math" panose="02040503050406030204" pitchFamily="18" charset="0"/>
                </a:rPr>
                <a:t>∆</a:t>
              </a:r>
              <a:r>
                <a:rPr lang="en-US" altLang="zh-CN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∅_</a:t>
              </a:r>
              <a:r>
                <a:rPr lang="zh-CN" altLang="en-US" sz="1000" i="0">
                  <a:latin typeface="Cambria Math" panose="02040503050406030204" pitchFamily="18" charset="0"/>
                </a:rPr>
                <a:t>出</a:t>
              </a:r>
              <a:r>
                <a:rPr lang="en-US" altLang="zh-CN" sz="1000" b="0" i="0">
                  <a:latin typeface="Cambria Math" panose="02040503050406030204" pitchFamily="18" charset="0"/>
                </a:rPr>
                <a:t> (″)</a:t>
              </a:r>
              <a:endParaRPr lang="zh-CN" altLang="en-US" sz="1000"/>
            </a:p>
          </xdr:txBody>
        </xdr:sp>
      </mc:Fallback>
    </mc:AlternateContent>
    <xdr:clientData/>
  </xdr:oneCellAnchor>
  <xdr:twoCellAnchor>
    <xdr:from>
      <xdr:col>1</xdr:col>
      <xdr:colOff>83820</xdr:colOff>
      <xdr:row>4</xdr:row>
      <xdr:rowOff>68580</xdr:rowOff>
    </xdr:from>
    <xdr:to>
      <xdr:col>1</xdr:col>
      <xdr:colOff>533400</xdr:colOff>
      <xdr:row>4</xdr:row>
      <xdr:rowOff>335280</xdr:rowOff>
    </xdr:to>
    <xdr:sp macro="" textlink="">
      <xdr:nvSpPr>
        <xdr:cNvPr id="20" name="文本框 19"/>
        <xdr:cNvSpPr txBox="1"/>
      </xdr:nvSpPr>
      <xdr:spPr>
        <a:xfrm>
          <a:off x="912495" y="944880"/>
          <a:ext cx="44958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/>
            <a:t>序</a:t>
          </a:r>
          <a:r>
            <a:rPr lang="zh-CN" altLang="en-US" sz="1100"/>
            <a:t>号 </a:t>
          </a:r>
        </a:p>
      </xdr:txBody>
    </xdr:sp>
    <xdr:clientData/>
  </xdr:twoCellAnchor>
  <xdr:twoCellAnchor>
    <xdr:from>
      <xdr:col>0</xdr:col>
      <xdr:colOff>7620</xdr:colOff>
      <xdr:row>4</xdr:row>
      <xdr:rowOff>205740</xdr:rowOff>
    </xdr:from>
    <xdr:to>
      <xdr:col>0</xdr:col>
      <xdr:colOff>472440</xdr:colOff>
      <xdr:row>4</xdr:row>
      <xdr:rowOff>472440</xdr:rowOff>
    </xdr:to>
    <xdr:sp macro="" textlink="">
      <xdr:nvSpPr>
        <xdr:cNvPr id="21" name="文本框 20"/>
        <xdr:cNvSpPr txBox="1"/>
      </xdr:nvSpPr>
      <xdr:spPr>
        <a:xfrm>
          <a:off x="7620" y="1082040"/>
          <a:ext cx="46482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/>
            <a:t>项目</a:t>
          </a:r>
          <a:r>
            <a:rPr lang="zh-CN" altLang="en-US" sz="1100"/>
            <a:t> </a:t>
          </a:r>
        </a:p>
      </xdr:txBody>
    </xdr:sp>
    <xdr:clientData/>
  </xdr:twoCellAnchor>
  <xdr:oneCellAnchor>
    <xdr:from>
      <xdr:col>1</xdr:col>
      <xdr:colOff>83820</xdr:colOff>
      <xdr:row>15</xdr:row>
      <xdr:rowOff>123825</xdr:rowOff>
    </xdr:from>
    <xdr:ext cx="481029" cy="1874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文本框 21"/>
            <xdr:cNvSpPr txBox="1"/>
          </xdr:nvSpPr>
          <xdr:spPr>
            <a:xfrm>
              <a:off x="13790295" y="5295900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000" i="1">
                        <a:latin typeface="Cambria Math" panose="02040503050406030204" pitchFamily="18" charset="0"/>
                      </a:rPr>
                      <m:t>∆</m:t>
                    </m:r>
                    <m:sSub>
                      <m:sSubPr>
                        <m:ctrlPr>
                          <a:rPr lang="en-US" altLang="zh-CN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</m:e>
                      <m:sub>
                        <m:r>
                          <a:rPr lang="zh-CN" altLang="en-US" sz="1000" i="1">
                            <a:latin typeface="Cambria Math" panose="02040503050406030204" pitchFamily="18" charset="0"/>
                          </a:rPr>
                          <m:t>出</m:t>
                        </m:r>
                      </m:sub>
                    </m:sSub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000" b="0" i="1">
                        <a:latin typeface="Cambria Math" panose="02040503050406030204" pitchFamily="18" charset="0"/>
                      </a:rPr>
                      <m:t>″</m:t>
                    </m:r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000"/>
            </a:p>
          </xdr:txBody>
        </xdr:sp>
      </mc:Choice>
      <mc:Fallback xmlns="">
        <xdr:sp macro="" textlink="">
          <xdr:nvSpPr>
            <xdr:cNvPr id="22" name="文本框 21"/>
            <xdr:cNvSpPr txBox="1"/>
          </xdr:nvSpPr>
          <xdr:spPr>
            <a:xfrm>
              <a:off x="13790295" y="5295900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000" i="0">
                  <a:latin typeface="Cambria Math" panose="02040503050406030204" pitchFamily="18" charset="0"/>
                </a:rPr>
                <a:t>∆</a:t>
              </a:r>
              <a:r>
                <a:rPr lang="en-US" altLang="zh-CN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∅_</a:t>
              </a:r>
              <a:r>
                <a:rPr lang="zh-CN" altLang="en-US" sz="1000" i="0">
                  <a:latin typeface="Cambria Math" panose="02040503050406030204" pitchFamily="18" charset="0"/>
                </a:rPr>
                <a:t>出</a:t>
              </a:r>
              <a:r>
                <a:rPr lang="en-US" altLang="zh-CN" sz="1000" b="0" i="0">
                  <a:latin typeface="Cambria Math" panose="02040503050406030204" pitchFamily="18" charset="0"/>
                </a:rPr>
                <a:t> (″)</a:t>
              </a:r>
              <a:endParaRPr lang="zh-CN" altLang="en-US" sz="1000"/>
            </a:p>
          </xdr:txBody>
        </xdr:sp>
      </mc:Fallback>
    </mc:AlternateContent>
    <xdr:clientData/>
  </xdr:oneCellAnchor>
  <xdr:twoCellAnchor>
    <xdr:from>
      <xdr:col>1</xdr:col>
      <xdr:colOff>93345</xdr:colOff>
      <xdr:row>11</xdr:row>
      <xdr:rowOff>38099</xdr:rowOff>
    </xdr:from>
    <xdr:to>
      <xdr:col>2</xdr:col>
      <xdr:colOff>57150</xdr:colOff>
      <xdr:row>11</xdr:row>
      <xdr:rowOff>352424</xdr:rowOff>
    </xdr:to>
    <xdr:sp macro="" textlink="">
      <xdr:nvSpPr>
        <xdr:cNvPr id="23" name="文本框 22"/>
        <xdr:cNvSpPr txBox="1"/>
      </xdr:nvSpPr>
      <xdr:spPr>
        <a:xfrm>
          <a:off x="702945" y="3486149"/>
          <a:ext cx="573405" cy="3143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/>
            <a:t>序号</a:t>
          </a:r>
          <a:r>
            <a:rPr lang="zh-CN" altLang="en-US" sz="1100"/>
            <a:t> </a:t>
          </a:r>
        </a:p>
      </xdr:txBody>
    </xdr:sp>
    <xdr:clientData/>
  </xdr:twoCellAnchor>
  <xdr:twoCellAnchor>
    <xdr:from>
      <xdr:col>0</xdr:col>
      <xdr:colOff>140970</xdr:colOff>
      <xdr:row>11</xdr:row>
      <xdr:rowOff>190500</xdr:rowOff>
    </xdr:from>
    <xdr:to>
      <xdr:col>1</xdr:col>
      <xdr:colOff>76200</xdr:colOff>
      <xdr:row>12</xdr:row>
      <xdr:rowOff>1</xdr:rowOff>
    </xdr:to>
    <xdr:sp macro="" textlink="">
      <xdr:nvSpPr>
        <xdr:cNvPr id="24" name="文本框 23"/>
        <xdr:cNvSpPr txBox="1"/>
      </xdr:nvSpPr>
      <xdr:spPr>
        <a:xfrm>
          <a:off x="140970" y="3638550"/>
          <a:ext cx="544830" cy="25717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/>
            <a:t>项目</a:t>
          </a:r>
          <a:r>
            <a:rPr lang="zh-CN" altLang="en-US" sz="1100"/>
            <a:t> </a:t>
          </a:r>
        </a:p>
      </xdr:txBody>
    </xdr:sp>
    <xdr:clientData/>
  </xdr:twoCellAnchor>
  <xdr:twoCellAnchor>
    <xdr:from>
      <xdr:col>0</xdr:col>
      <xdr:colOff>28573</xdr:colOff>
      <xdr:row>45</xdr:row>
      <xdr:rowOff>0</xdr:rowOff>
    </xdr:from>
    <xdr:to>
      <xdr:col>27</xdr:col>
      <xdr:colOff>0</xdr:colOff>
      <xdr:row>70</xdr:row>
      <xdr:rowOff>158115</xdr:rowOff>
    </xdr:to>
    <xdr:graphicFrame macro="">
      <xdr:nvGraphicFramePr>
        <xdr:cNvPr id="26" name="图表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26</xdr:col>
      <xdr:colOff>600075</xdr:colOff>
      <xdr:row>43</xdr:row>
      <xdr:rowOff>100965</xdr:rowOff>
    </xdr:to>
    <xdr:graphicFrame macro="">
      <xdr:nvGraphicFramePr>
        <xdr:cNvPr id="27" name="图表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76</xdr:row>
      <xdr:rowOff>64770</xdr:rowOff>
    </xdr:from>
    <xdr:ext cx="481029" cy="1874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文本框 27"/>
            <xdr:cNvSpPr txBox="1"/>
          </xdr:nvSpPr>
          <xdr:spPr>
            <a:xfrm>
              <a:off x="1034415" y="2522220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000" i="1">
                        <a:latin typeface="Cambria Math" panose="02040503050406030204" pitchFamily="18" charset="0"/>
                      </a:rPr>
                      <m:t>∆</m:t>
                    </m:r>
                    <m:sSub>
                      <m:sSubPr>
                        <m:ctrlPr>
                          <a:rPr lang="en-US" altLang="zh-CN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</m:e>
                      <m:sub>
                        <m:r>
                          <a:rPr lang="zh-CN" altLang="en-US" sz="1000" i="1">
                            <a:latin typeface="Cambria Math" panose="02040503050406030204" pitchFamily="18" charset="0"/>
                          </a:rPr>
                          <m:t>出</m:t>
                        </m:r>
                      </m:sub>
                    </m:sSub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000" b="0" i="1">
                        <a:latin typeface="Cambria Math" panose="02040503050406030204" pitchFamily="18" charset="0"/>
                      </a:rPr>
                      <m:t>″</m:t>
                    </m:r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000"/>
            </a:p>
          </xdr:txBody>
        </xdr:sp>
      </mc:Choice>
      <mc:Fallback xmlns="">
        <xdr:sp macro="" textlink="">
          <xdr:nvSpPr>
            <xdr:cNvPr id="28" name="文本框 27"/>
            <xdr:cNvSpPr txBox="1"/>
          </xdr:nvSpPr>
          <xdr:spPr>
            <a:xfrm>
              <a:off x="1034415" y="2522220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000" i="0">
                  <a:latin typeface="Cambria Math" panose="02040503050406030204" pitchFamily="18" charset="0"/>
                </a:rPr>
                <a:t>∆</a:t>
              </a:r>
              <a:r>
                <a:rPr lang="en-US" altLang="zh-CN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∅_</a:t>
              </a:r>
              <a:r>
                <a:rPr lang="zh-CN" altLang="en-US" sz="1000" i="0">
                  <a:latin typeface="Cambria Math" panose="02040503050406030204" pitchFamily="18" charset="0"/>
                </a:rPr>
                <a:t>出</a:t>
              </a:r>
              <a:r>
                <a:rPr lang="en-US" altLang="zh-CN" sz="1000" b="0" i="0">
                  <a:latin typeface="Cambria Math" panose="02040503050406030204" pitchFamily="18" charset="0"/>
                </a:rPr>
                <a:t> (″)</a:t>
              </a:r>
              <a:endParaRPr lang="zh-CN" altLang="en-US" sz="1000"/>
            </a:p>
          </xdr:txBody>
        </xdr:sp>
      </mc:Fallback>
    </mc:AlternateContent>
    <xdr:clientData/>
  </xdr:oneCellAnchor>
  <xdr:oneCellAnchor>
    <xdr:from>
      <xdr:col>1</xdr:col>
      <xdr:colOff>83820</xdr:colOff>
      <xdr:row>18</xdr:row>
      <xdr:rowOff>123825</xdr:rowOff>
    </xdr:from>
    <xdr:ext cx="481029" cy="1874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文本框 24"/>
            <xdr:cNvSpPr txBox="1"/>
          </xdr:nvSpPr>
          <xdr:spPr>
            <a:xfrm>
              <a:off x="693420" y="5362575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000" i="1">
                        <a:latin typeface="Cambria Math" panose="02040503050406030204" pitchFamily="18" charset="0"/>
                      </a:rPr>
                      <m:t>∆</m:t>
                    </m:r>
                    <m:sSub>
                      <m:sSubPr>
                        <m:ctrlPr>
                          <a:rPr lang="en-US" altLang="zh-CN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</m:e>
                      <m:sub>
                        <m:r>
                          <a:rPr lang="zh-CN" altLang="en-US" sz="1000" i="1">
                            <a:latin typeface="Cambria Math" panose="02040503050406030204" pitchFamily="18" charset="0"/>
                          </a:rPr>
                          <m:t>出</m:t>
                        </m:r>
                      </m:sub>
                    </m:sSub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000" b="0" i="1">
                        <a:latin typeface="Cambria Math" panose="02040503050406030204" pitchFamily="18" charset="0"/>
                      </a:rPr>
                      <m:t>″</m:t>
                    </m:r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000"/>
            </a:p>
          </xdr:txBody>
        </xdr:sp>
      </mc:Choice>
      <mc:Fallback xmlns="">
        <xdr:sp macro="" textlink="">
          <xdr:nvSpPr>
            <xdr:cNvPr id="25" name="文本框 24"/>
            <xdr:cNvSpPr txBox="1"/>
          </xdr:nvSpPr>
          <xdr:spPr>
            <a:xfrm>
              <a:off x="693420" y="5362575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000" i="0">
                  <a:latin typeface="Cambria Math" panose="02040503050406030204" pitchFamily="18" charset="0"/>
                </a:rPr>
                <a:t>∆</a:t>
              </a:r>
              <a:r>
                <a:rPr lang="en-US" altLang="zh-CN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∅_</a:t>
              </a:r>
              <a:r>
                <a:rPr lang="zh-CN" altLang="en-US" sz="1000" i="0">
                  <a:latin typeface="Cambria Math" panose="02040503050406030204" pitchFamily="18" charset="0"/>
                </a:rPr>
                <a:t>出</a:t>
              </a:r>
              <a:r>
                <a:rPr lang="en-US" altLang="zh-CN" sz="1000" b="0" i="0">
                  <a:latin typeface="Cambria Math" panose="02040503050406030204" pitchFamily="18" charset="0"/>
                </a:rPr>
                <a:t> (″)</a:t>
              </a:r>
              <a:endParaRPr lang="zh-CN" altLang="en-US" sz="1000"/>
            </a:p>
          </xdr:txBody>
        </xdr:sp>
      </mc:Fallback>
    </mc:AlternateContent>
    <xdr:clientData/>
  </xdr:oneCellAnchor>
  <xdr:twoCellAnchor>
    <xdr:from>
      <xdr:col>1</xdr:col>
      <xdr:colOff>93345</xdr:colOff>
      <xdr:row>17</xdr:row>
      <xdr:rowOff>38099</xdr:rowOff>
    </xdr:from>
    <xdr:to>
      <xdr:col>2</xdr:col>
      <xdr:colOff>180975</xdr:colOff>
      <xdr:row>17</xdr:row>
      <xdr:rowOff>333374</xdr:rowOff>
    </xdr:to>
    <xdr:sp macro="" textlink="">
      <xdr:nvSpPr>
        <xdr:cNvPr id="31" name="文本框 30"/>
        <xdr:cNvSpPr txBox="1"/>
      </xdr:nvSpPr>
      <xdr:spPr>
        <a:xfrm>
          <a:off x="702945" y="6010274"/>
          <a:ext cx="697230" cy="29527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/>
            <a:t>序号</a:t>
          </a:r>
          <a:r>
            <a:rPr lang="zh-CN" altLang="en-US" sz="1100"/>
            <a:t> </a:t>
          </a:r>
        </a:p>
      </xdr:txBody>
    </xdr:sp>
    <xdr:clientData/>
  </xdr:twoCellAnchor>
  <xdr:twoCellAnchor>
    <xdr:from>
      <xdr:col>0</xdr:col>
      <xdr:colOff>160019</xdr:colOff>
      <xdr:row>17</xdr:row>
      <xdr:rowOff>182880</xdr:rowOff>
    </xdr:from>
    <xdr:to>
      <xdr:col>1</xdr:col>
      <xdr:colOff>161924</xdr:colOff>
      <xdr:row>18</xdr:row>
      <xdr:rowOff>0</xdr:rowOff>
    </xdr:to>
    <xdr:sp macro="" textlink="">
      <xdr:nvSpPr>
        <xdr:cNvPr id="32" name="文本框 31"/>
        <xdr:cNvSpPr txBox="1"/>
      </xdr:nvSpPr>
      <xdr:spPr>
        <a:xfrm>
          <a:off x="160019" y="6155055"/>
          <a:ext cx="611505" cy="26479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/>
            <a:t>项目</a:t>
          </a:r>
          <a:r>
            <a:rPr lang="zh-CN" altLang="en-US" sz="1100"/>
            <a:t> </a:t>
          </a:r>
        </a:p>
      </xdr:txBody>
    </xdr:sp>
    <xdr:clientData/>
  </xdr:twoCellAnchor>
  <xdr:twoCellAnchor>
    <xdr:from>
      <xdr:col>0</xdr:col>
      <xdr:colOff>0</xdr:colOff>
      <xdr:row>72</xdr:row>
      <xdr:rowOff>476249</xdr:rowOff>
    </xdr:from>
    <xdr:to>
      <xdr:col>26</xdr:col>
      <xdr:colOff>581027</xdr:colOff>
      <xdr:row>105</xdr:row>
      <xdr:rowOff>85725</xdr:rowOff>
    </xdr:to>
    <xdr:graphicFrame macro="">
      <xdr:nvGraphicFramePr>
        <xdr:cNvPr id="33" name="图表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360045</xdr:colOff>
      <xdr:row>2</xdr:row>
      <xdr:rowOff>41910</xdr:rowOff>
    </xdr:from>
    <xdr:to>
      <xdr:col>1</xdr:col>
      <xdr:colOff>45720</xdr:colOff>
      <xdr:row>2</xdr:row>
      <xdr:rowOff>308610</xdr:rowOff>
    </xdr:to>
    <xdr:sp macro="" textlink="">
      <xdr:nvSpPr>
        <xdr:cNvPr id="3" name="文本框 2"/>
        <xdr:cNvSpPr txBox="1"/>
      </xdr:nvSpPr>
      <xdr:spPr>
        <a:xfrm>
          <a:off x="360045" y="476250"/>
          <a:ext cx="49339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/>
            <a:t>序</a:t>
          </a:r>
          <a:r>
            <a:rPr lang="zh-CN" altLang="en-US" sz="1100"/>
            <a:t>号 </a:t>
          </a:r>
        </a:p>
      </xdr:txBody>
    </xdr:sp>
    <xdr:clientData/>
  </xdr:twoCellAnchor>
  <xdr:twoCellAnchor>
    <xdr:from>
      <xdr:col>0</xdr:col>
      <xdr:colOff>7620</xdr:colOff>
      <xdr:row>2</xdr:row>
      <xdr:rowOff>205740</xdr:rowOff>
    </xdr:from>
    <xdr:to>
      <xdr:col>0</xdr:col>
      <xdr:colOff>472440</xdr:colOff>
      <xdr:row>2</xdr:row>
      <xdr:rowOff>472440</xdr:rowOff>
    </xdr:to>
    <xdr:sp macro="" textlink="">
      <xdr:nvSpPr>
        <xdr:cNvPr id="4" name="文本框 3"/>
        <xdr:cNvSpPr txBox="1"/>
      </xdr:nvSpPr>
      <xdr:spPr>
        <a:xfrm>
          <a:off x="7620" y="16032480"/>
          <a:ext cx="46482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/>
            <a:t>项目</a:t>
          </a:r>
          <a:r>
            <a:rPr lang="zh-CN" altLang="en-US" sz="1100"/>
            <a:t> </a:t>
          </a:r>
        </a:p>
      </xdr:txBody>
    </xdr:sp>
    <xdr:clientData/>
  </xdr:twoCellAnchor>
  <xdr:twoCellAnchor>
    <xdr:from>
      <xdr:col>0</xdr:col>
      <xdr:colOff>321945</xdr:colOff>
      <xdr:row>4</xdr:row>
      <xdr:rowOff>354330</xdr:rowOff>
    </xdr:from>
    <xdr:to>
      <xdr:col>0</xdr:col>
      <xdr:colOff>784860</xdr:colOff>
      <xdr:row>5</xdr:row>
      <xdr:rowOff>240030</xdr:rowOff>
    </xdr:to>
    <xdr:sp macro="" textlink="">
      <xdr:nvSpPr>
        <xdr:cNvPr id="5" name="文本框 4"/>
        <xdr:cNvSpPr txBox="1"/>
      </xdr:nvSpPr>
      <xdr:spPr>
        <a:xfrm>
          <a:off x="321945" y="1664970"/>
          <a:ext cx="46291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/>
            <a:t>序</a:t>
          </a:r>
          <a:r>
            <a:rPr lang="zh-CN" altLang="en-US" sz="1100"/>
            <a:t>号 </a:t>
          </a:r>
        </a:p>
      </xdr:txBody>
    </xdr:sp>
    <xdr:clientData/>
  </xdr:twoCellAnchor>
  <xdr:twoCellAnchor>
    <xdr:from>
      <xdr:col>0</xdr:col>
      <xdr:colOff>7620</xdr:colOff>
      <xdr:row>5</xdr:row>
      <xdr:rowOff>205740</xdr:rowOff>
    </xdr:from>
    <xdr:to>
      <xdr:col>0</xdr:col>
      <xdr:colOff>472440</xdr:colOff>
      <xdr:row>5</xdr:row>
      <xdr:rowOff>472440</xdr:rowOff>
    </xdr:to>
    <xdr:sp macro="" textlink="">
      <xdr:nvSpPr>
        <xdr:cNvPr id="6" name="文本框 5"/>
        <xdr:cNvSpPr txBox="1"/>
      </xdr:nvSpPr>
      <xdr:spPr>
        <a:xfrm>
          <a:off x="7620" y="640080"/>
          <a:ext cx="46482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/>
            <a:t>项目</a:t>
          </a:r>
          <a:r>
            <a:rPr lang="zh-CN" altLang="en-US" sz="1100"/>
            <a:t> </a:t>
          </a:r>
        </a:p>
      </xdr:txBody>
    </xdr:sp>
    <xdr:clientData/>
  </xdr:twoCellAnchor>
  <xdr:twoCellAnchor>
    <xdr:from>
      <xdr:col>0</xdr:col>
      <xdr:colOff>321945</xdr:colOff>
      <xdr:row>17</xdr:row>
      <xdr:rowOff>354330</xdr:rowOff>
    </xdr:from>
    <xdr:to>
      <xdr:col>0</xdr:col>
      <xdr:colOff>784860</xdr:colOff>
      <xdr:row>18</xdr:row>
      <xdr:rowOff>240030</xdr:rowOff>
    </xdr:to>
    <xdr:sp macro="" textlink="">
      <xdr:nvSpPr>
        <xdr:cNvPr id="36" name="文本框 35"/>
        <xdr:cNvSpPr txBox="1"/>
      </xdr:nvSpPr>
      <xdr:spPr>
        <a:xfrm>
          <a:off x="321945" y="1664970"/>
          <a:ext cx="46291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/>
            <a:t>序</a:t>
          </a:r>
          <a:r>
            <a:rPr lang="zh-CN" altLang="en-US" sz="1100"/>
            <a:t>号 </a:t>
          </a:r>
        </a:p>
      </xdr:txBody>
    </xdr:sp>
    <xdr:clientData/>
  </xdr:twoCellAnchor>
  <xdr:twoCellAnchor>
    <xdr:from>
      <xdr:col>0</xdr:col>
      <xdr:colOff>7620</xdr:colOff>
      <xdr:row>18</xdr:row>
      <xdr:rowOff>205740</xdr:rowOff>
    </xdr:from>
    <xdr:to>
      <xdr:col>0</xdr:col>
      <xdr:colOff>472440</xdr:colOff>
      <xdr:row>18</xdr:row>
      <xdr:rowOff>472440</xdr:rowOff>
    </xdr:to>
    <xdr:sp macro="" textlink="">
      <xdr:nvSpPr>
        <xdr:cNvPr id="37" name="文本框 36"/>
        <xdr:cNvSpPr txBox="1"/>
      </xdr:nvSpPr>
      <xdr:spPr>
        <a:xfrm>
          <a:off x="7620" y="1897380"/>
          <a:ext cx="464820" cy="2209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/>
            <a:t>项目</a:t>
          </a:r>
          <a:r>
            <a:rPr lang="zh-CN" altLang="en-US" sz="1100"/>
            <a:t> </a:t>
          </a:r>
        </a:p>
      </xdr:txBody>
    </xdr:sp>
    <xdr:clientData/>
  </xdr:twoCellAnchor>
  <xdr:twoCellAnchor>
    <xdr:from>
      <xdr:col>35</xdr:col>
      <xdr:colOff>424543</xdr:colOff>
      <xdr:row>42</xdr:row>
      <xdr:rowOff>87086</xdr:rowOff>
    </xdr:from>
    <xdr:to>
      <xdr:col>64</xdr:col>
      <xdr:colOff>533400</xdr:colOff>
      <xdr:row>78</xdr:row>
      <xdr:rowOff>29392</xdr:rowOff>
    </xdr:to>
    <xdr:graphicFrame macro="">
      <xdr:nvGraphicFramePr>
        <xdr:cNvPr id="38" name="图表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321945</xdr:colOff>
      <xdr:row>7</xdr:row>
      <xdr:rowOff>354330</xdr:rowOff>
    </xdr:from>
    <xdr:to>
      <xdr:col>0</xdr:col>
      <xdr:colOff>784860</xdr:colOff>
      <xdr:row>8</xdr:row>
      <xdr:rowOff>240030</xdr:rowOff>
    </xdr:to>
    <xdr:sp macro="" textlink="">
      <xdr:nvSpPr>
        <xdr:cNvPr id="9" name="文本框 8"/>
        <xdr:cNvSpPr txBox="1"/>
      </xdr:nvSpPr>
      <xdr:spPr>
        <a:xfrm>
          <a:off x="321945" y="1664970"/>
          <a:ext cx="46291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/>
            <a:t>序</a:t>
          </a:r>
          <a:r>
            <a:rPr lang="zh-CN" altLang="en-US" sz="1100"/>
            <a:t>号 </a:t>
          </a:r>
        </a:p>
      </xdr:txBody>
    </xdr:sp>
    <xdr:clientData/>
  </xdr:twoCellAnchor>
  <xdr:twoCellAnchor>
    <xdr:from>
      <xdr:col>0</xdr:col>
      <xdr:colOff>7620</xdr:colOff>
      <xdr:row>8</xdr:row>
      <xdr:rowOff>205740</xdr:rowOff>
    </xdr:from>
    <xdr:to>
      <xdr:col>0</xdr:col>
      <xdr:colOff>472440</xdr:colOff>
      <xdr:row>8</xdr:row>
      <xdr:rowOff>472440</xdr:rowOff>
    </xdr:to>
    <xdr:sp macro="" textlink="">
      <xdr:nvSpPr>
        <xdr:cNvPr id="10" name="文本框 9"/>
        <xdr:cNvSpPr txBox="1"/>
      </xdr:nvSpPr>
      <xdr:spPr>
        <a:xfrm>
          <a:off x="7620" y="1897380"/>
          <a:ext cx="464820" cy="2209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/>
            <a:t>项目</a:t>
          </a:r>
          <a:r>
            <a:rPr lang="zh-CN" altLang="en-US" sz="11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0</xdr:row>
      <xdr:rowOff>125730</xdr:rowOff>
    </xdr:from>
    <xdr:to>
      <xdr:col>1</xdr:col>
      <xdr:colOff>36195</xdr:colOff>
      <xdr:row>1</xdr:row>
      <xdr:rowOff>175260</xdr:rowOff>
    </xdr:to>
    <xdr:sp macro="" textlink="">
      <xdr:nvSpPr>
        <xdr:cNvPr id="8" name="文本框 7"/>
        <xdr:cNvSpPr txBox="1"/>
      </xdr:nvSpPr>
      <xdr:spPr>
        <a:xfrm>
          <a:off x="259080" y="125730"/>
          <a:ext cx="470535" cy="22479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/>
            <a:t>序</a:t>
          </a:r>
          <a:r>
            <a:rPr lang="zh-CN" altLang="en-US" sz="1100"/>
            <a:t>号 </a:t>
          </a:r>
        </a:p>
      </xdr:txBody>
    </xdr:sp>
    <xdr:clientData/>
  </xdr:twoCellAnchor>
  <xdr:twoCellAnchor>
    <xdr:from>
      <xdr:col>0</xdr:col>
      <xdr:colOff>0</xdr:colOff>
      <xdr:row>1</xdr:row>
      <xdr:rowOff>137160</xdr:rowOff>
    </xdr:from>
    <xdr:to>
      <xdr:col>0</xdr:col>
      <xdr:colOff>464820</xdr:colOff>
      <xdr:row>2</xdr:row>
      <xdr:rowOff>0</xdr:rowOff>
    </xdr:to>
    <xdr:sp macro="" textlink="">
      <xdr:nvSpPr>
        <xdr:cNvPr id="9" name="文本框 8"/>
        <xdr:cNvSpPr txBox="1"/>
      </xdr:nvSpPr>
      <xdr:spPr>
        <a:xfrm>
          <a:off x="0" y="312420"/>
          <a:ext cx="464820" cy="2209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/>
            <a:t>项目</a:t>
          </a:r>
          <a:r>
            <a:rPr lang="zh-CN" altLang="en-US" sz="1100"/>
            <a:t> </a:t>
          </a:r>
        </a:p>
      </xdr:txBody>
    </xdr:sp>
    <xdr:clientData/>
  </xdr:twoCellAnchor>
  <xdr:twoCellAnchor>
    <xdr:from>
      <xdr:col>10</xdr:col>
      <xdr:colOff>289560</xdr:colOff>
      <xdr:row>5</xdr:row>
      <xdr:rowOff>45720</xdr:rowOff>
    </xdr:from>
    <xdr:to>
      <xdr:col>12</xdr:col>
      <xdr:colOff>350520</xdr:colOff>
      <xdr:row>6</xdr:row>
      <xdr:rowOff>160020</xdr:rowOff>
    </xdr:to>
    <xdr:sp macro="" textlink="">
      <xdr:nvSpPr>
        <xdr:cNvPr id="2" name="文本框 1"/>
        <xdr:cNvSpPr txBox="1"/>
      </xdr:nvSpPr>
      <xdr:spPr>
        <a:xfrm>
          <a:off x="6469380" y="1676400"/>
          <a:ext cx="1280160" cy="2895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N</a:t>
          </a:r>
          <a:r>
            <a:rPr lang="zh-CN" altLang="en-US" sz="1100"/>
            <a:t>次实验的平均值</a:t>
          </a:r>
        </a:p>
      </xdr:txBody>
    </xdr:sp>
    <xdr:clientData/>
  </xdr:twoCellAnchor>
  <xdr:twoCellAnchor>
    <xdr:from>
      <xdr:col>9</xdr:col>
      <xdr:colOff>434340</xdr:colOff>
      <xdr:row>4</xdr:row>
      <xdr:rowOff>289560</xdr:rowOff>
    </xdr:from>
    <xdr:to>
      <xdr:col>10</xdr:col>
      <xdr:colOff>289560</xdr:colOff>
      <xdr:row>6</xdr:row>
      <xdr:rowOff>15240</xdr:rowOff>
    </xdr:to>
    <xdr:cxnSp macro="">
      <xdr:nvCxnSpPr>
        <xdr:cNvPr id="4" name="直接箭头连接符 3"/>
        <xdr:cNvCxnSpPr>
          <a:stCxn id="2" idx="1"/>
        </xdr:cNvCxnSpPr>
      </xdr:nvCxnSpPr>
      <xdr:spPr>
        <a:xfrm flipH="1" flipV="1">
          <a:off x="6004560" y="1554480"/>
          <a:ext cx="46482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</xdr:colOff>
      <xdr:row>5</xdr:row>
      <xdr:rowOff>55245</xdr:rowOff>
    </xdr:from>
    <xdr:ext cx="481029" cy="1874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/>
            <xdr:cNvSpPr txBox="1"/>
          </xdr:nvSpPr>
          <xdr:spPr>
            <a:xfrm>
              <a:off x="634365" y="2600325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000" i="1">
                        <a:latin typeface="Cambria Math" panose="02040503050406030204" pitchFamily="18" charset="0"/>
                      </a:rPr>
                      <m:t>∆</m:t>
                    </m:r>
                    <m:sSub>
                      <m:sSubPr>
                        <m:ctrlPr>
                          <a:rPr lang="en-US" altLang="zh-CN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</m:e>
                      <m:sub>
                        <m:r>
                          <a:rPr lang="zh-CN" altLang="en-US" sz="1000" i="1">
                            <a:latin typeface="Cambria Math" panose="02040503050406030204" pitchFamily="18" charset="0"/>
                          </a:rPr>
                          <m:t>出</m:t>
                        </m:r>
                      </m:sub>
                    </m:sSub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000" b="0" i="1">
                        <a:latin typeface="Cambria Math" panose="02040503050406030204" pitchFamily="18" charset="0"/>
                      </a:rPr>
                      <m:t>″</m:t>
                    </m:r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000"/>
            </a:p>
          </xdr:txBody>
        </xdr:sp>
      </mc:Choice>
      <mc:Fallback xmlns="">
        <xdr:sp macro="" textlink="">
          <xdr:nvSpPr>
            <xdr:cNvPr id="2" name="文本框 1"/>
            <xdr:cNvSpPr txBox="1"/>
          </xdr:nvSpPr>
          <xdr:spPr>
            <a:xfrm>
              <a:off x="634365" y="2600325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000" i="0">
                  <a:latin typeface="Cambria Math" panose="02040503050406030204" pitchFamily="18" charset="0"/>
                </a:rPr>
                <a:t>∆</a:t>
              </a:r>
              <a:r>
                <a:rPr lang="en-US" altLang="zh-CN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∅_</a:t>
              </a:r>
              <a:r>
                <a:rPr lang="zh-CN" altLang="en-US" sz="1000" i="0">
                  <a:latin typeface="Cambria Math" panose="02040503050406030204" pitchFamily="18" charset="0"/>
                </a:rPr>
                <a:t>出</a:t>
              </a:r>
              <a:r>
                <a:rPr lang="en-US" altLang="zh-CN" sz="1000" b="0" i="0">
                  <a:latin typeface="Cambria Math" panose="02040503050406030204" pitchFamily="18" charset="0"/>
                </a:rPr>
                <a:t> (″)</a:t>
              </a:r>
              <a:endParaRPr lang="zh-CN" altLang="en-US" sz="1000"/>
            </a:p>
          </xdr:txBody>
        </xdr:sp>
      </mc:Fallback>
    </mc:AlternateContent>
    <xdr:clientData/>
  </xdr:oneCellAnchor>
  <xdr:twoCellAnchor>
    <xdr:from>
      <xdr:col>1</xdr:col>
      <xdr:colOff>45720</xdr:colOff>
      <xdr:row>1</xdr:row>
      <xdr:rowOff>0</xdr:rowOff>
    </xdr:from>
    <xdr:to>
      <xdr:col>2</xdr:col>
      <xdr:colOff>22860</xdr:colOff>
      <xdr:row>1</xdr:row>
      <xdr:rowOff>266700</xdr:rowOff>
    </xdr:to>
    <xdr:sp macro="" textlink="">
      <xdr:nvSpPr>
        <xdr:cNvPr id="3" name="文本框 2"/>
        <xdr:cNvSpPr txBox="1"/>
      </xdr:nvSpPr>
      <xdr:spPr>
        <a:xfrm>
          <a:off x="594360" y="259080"/>
          <a:ext cx="48006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/>
            <a:t>序</a:t>
          </a:r>
          <a:r>
            <a:rPr lang="zh-CN" altLang="en-US" sz="1100"/>
            <a:t>号 </a:t>
          </a:r>
        </a:p>
      </xdr:txBody>
    </xdr:sp>
    <xdr:clientData/>
  </xdr:twoCellAnchor>
  <xdr:twoCellAnchor>
    <xdr:from>
      <xdr:col>0</xdr:col>
      <xdr:colOff>7620</xdr:colOff>
      <xdr:row>1</xdr:row>
      <xdr:rowOff>121920</xdr:rowOff>
    </xdr:from>
    <xdr:to>
      <xdr:col>0</xdr:col>
      <xdr:colOff>472440</xdr:colOff>
      <xdr:row>1</xdr:row>
      <xdr:rowOff>342900</xdr:rowOff>
    </xdr:to>
    <xdr:sp macro="" textlink="">
      <xdr:nvSpPr>
        <xdr:cNvPr id="4" name="文本框 3"/>
        <xdr:cNvSpPr txBox="1"/>
      </xdr:nvSpPr>
      <xdr:spPr>
        <a:xfrm>
          <a:off x="7620" y="381000"/>
          <a:ext cx="464820" cy="2209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/>
            <a:t>项目</a:t>
          </a:r>
          <a:r>
            <a:rPr lang="zh-CN" altLang="en-US" sz="1100"/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0</xdr:row>
      <xdr:rowOff>167640</xdr:rowOff>
    </xdr:from>
    <xdr:to>
      <xdr:col>1</xdr:col>
      <xdr:colOff>76200</xdr:colOff>
      <xdr:row>1</xdr:row>
      <xdr:rowOff>259080</xdr:rowOff>
    </xdr:to>
    <xdr:sp macro="" textlink="">
      <xdr:nvSpPr>
        <xdr:cNvPr id="3" name="文本框 2"/>
        <xdr:cNvSpPr txBox="1"/>
      </xdr:nvSpPr>
      <xdr:spPr>
        <a:xfrm>
          <a:off x="320040" y="167640"/>
          <a:ext cx="52578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/>
            <a:t>序</a:t>
          </a:r>
          <a:r>
            <a:rPr lang="zh-CN" altLang="en-US" sz="1100"/>
            <a:t>号 </a:t>
          </a:r>
        </a:p>
      </xdr:txBody>
    </xdr:sp>
    <xdr:clientData/>
  </xdr:twoCellAnchor>
  <xdr:twoCellAnchor>
    <xdr:from>
      <xdr:col>0</xdr:col>
      <xdr:colOff>7620</xdr:colOff>
      <xdr:row>1</xdr:row>
      <xdr:rowOff>121920</xdr:rowOff>
    </xdr:from>
    <xdr:to>
      <xdr:col>0</xdr:col>
      <xdr:colOff>472440</xdr:colOff>
      <xdr:row>1</xdr:row>
      <xdr:rowOff>342900</xdr:rowOff>
    </xdr:to>
    <xdr:sp macro="" textlink="">
      <xdr:nvSpPr>
        <xdr:cNvPr id="4" name="文本框 3"/>
        <xdr:cNvSpPr txBox="1"/>
      </xdr:nvSpPr>
      <xdr:spPr>
        <a:xfrm>
          <a:off x="7620" y="381000"/>
          <a:ext cx="464820" cy="2209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/>
            <a:t>项目</a:t>
          </a:r>
          <a:r>
            <a:rPr lang="zh-CN" altLang="en-US" sz="1100"/>
            <a:t> </a:t>
          </a:r>
        </a:p>
      </xdr:txBody>
    </xdr:sp>
    <xdr:clientData/>
  </xdr:twoCellAnchor>
  <xdr:twoCellAnchor>
    <xdr:from>
      <xdr:col>0</xdr:col>
      <xdr:colOff>220980</xdr:colOff>
      <xdr:row>10</xdr:row>
      <xdr:rowOff>163830</xdr:rowOff>
    </xdr:from>
    <xdr:to>
      <xdr:col>28</xdr:col>
      <xdr:colOff>403860</xdr:colOff>
      <xdr:row>40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205740</xdr:colOff>
      <xdr:row>5</xdr:row>
      <xdr:rowOff>64770</xdr:rowOff>
    </xdr:from>
    <xdr:ext cx="481029" cy="1874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/>
            <xdr:cNvSpPr txBox="1"/>
          </xdr:nvSpPr>
          <xdr:spPr>
            <a:xfrm>
              <a:off x="1036320" y="2541270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000" i="1">
                        <a:latin typeface="Cambria Math" panose="02040503050406030204" pitchFamily="18" charset="0"/>
                      </a:rPr>
                      <m:t>∆</m:t>
                    </m:r>
                    <m:sSub>
                      <m:sSubPr>
                        <m:ctrlPr>
                          <a:rPr lang="en-US" altLang="zh-CN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</m:e>
                      <m:sub>
                        <m:r>
                          <a:rPr lang="zh-CN" altLang="en-US" sz="1000" i="1">
                            <a:latin typeface="Cambria Math" panose="02040503050406030204" pitchFamily="18" charset="0"/>
                          </a:rPr>
                          <m:t>出</m:t>
                        </m:r>
                      </m:sub>
                    </m:sSub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000" b="0" i="1">
                        <a:latin typeface="Cambria Math" panose="02040503050406030204" pitchFamily="18" charset="0"/>
                      </a:rPr>
                      <m:t>″</m:t>
                    </m:r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000"/>
            </a:p>
          </xdr:txBody>
        </xdr:sp>
      </mc:Choice>
      <mc:Fallback xmlns="">
        <xdr:sp macro="" textlink="">
          <xdr:nvSpPr>
            <xdr:cNvPr id="2" name="文本框 1"/>
            <xdr:cNvSpPr txBox="1"/>
          </xdr:nvSpPr>
          <xdr:spPr>
            <a:xfrm>
              <a:off x="1036320" y="2541270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000" i="0">
                  <a:latin typeface="Cambria Math" panose="02040503050406030204" pitchFamily="18" charset="0"/>
                </a:rPr>
                <a:t>∆</a:t>
              </a:r>
              <a:r>
                <a:rPr lang="en-US" altLang="zh-CN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∅_</a:t>
              </a:r>
              <a:r>
                <a:rPr lang="zh-CN" altLang="en-US" sz="1000" i="0">
                  <a:latin typeface="Cambria Math" panose="02040503050406030204" pitchFamily="18" charset="0"/>
                </a:rPr>
                <a:t>出</a:t>
              </a:r>
              <a:r>
                <a:rPr lang="en-US" altLang="zh-CN" sz="1000" b="0" i="0">
                  <a:latin typeface="Cambria Math" panose="02040503050406030204" pitchFamily="18" charset="0"/>
                </a:rPr>
                <a:t> (″)</a:t>
              </a:r>
              <a:endParaRPr lang="zh-CN" altLang="en-US" sz="1000"/>
            </a:p>
          </xdr:txBody>
        </xdr:sp>
      </mc:Fallback>
    </mc:AlternateContent>
    <xdr:clientData/>
  </xdr:oneCellAnchor>
  <xdr:twoCellAnchor>
    <xdr:from>
      <xdr:col>1</xdr:col>
      <xdr:colOff>83820</xdr:colOff>
      <xdr:row>1</xdr:row>
      <xdr:rowOff>68580</xdr:rowOff>
    </xdr:from>
    <xdr:to>
      <xdr:col>1</xdr:col>
      <xdr:colOff>533400</xdr:colOff>
      <xdr:row>1</xdr:row>
      <xdr:rowOff>335280</xdr:rowOff>
    </xdr:to>
    <xdr:sp macro="" textlink="">
      <xdr:nvSpPr>
        <xdr:cNvPr id="3" name="文本框 2"/>
        <xdr:cNvSpPr txBox="1"/>
      </xdr:nvSpPr>
      <xdr:spPr>
        <a:xfrm>
          <a:off x="914400" y="952500"/>
          <a:ext cx="44958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/>
            <a:t>序</a:t>
          </a:r>
          <a:r>
            <a:rPr lang="zh-CN" altLang="en-US" sz="1100"/>
            <a:t>号 </a:t>
          </a:r>
        </a:p>
      </xdr:txBody>
    </xdr:sp>
    <xdr:clientData/>
  </xdr:twoCellAnchor>
  <xdr:twoCellAnchor>
    <xdr:from>
      <xdr:col>0</xdr:col>
      <xdr:colOff>7620</xdr:colOff>
      <xdr:row>1</xdr:row>
      <xdr:rowOff>205740</xdr:rowOff>
    </xdr:from>
    <xdr:to>
      <xdr:col>0</xdr:col>
      <xdr:colOff>472440</xdr:colOff>
      <xdr:row>1</xdr:row>
      <xdr:rowOff>472440</xdr:rowOff>
    </xdr:to>
    <xdr:sp macro="" textlink="">
      <xdr:nvSpPr>
        <xdr:cNvPr id="4" name="文本框 3"/>
        <xdr:cNvSpPr txBox="1"/>
      </xdr:nvSpPr>
      <xdr:spPr>
        <a:xfrm>
          <a:off x="7620" y="1089660"/>
          <a:ext cx="46482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/>
            <a:t>项目</a:t>
          </a:r>
          <a:r>
            <a:rPr lang="zh-CN" altLang="en-US" sz="1100"/>
            <a:t> </a:t>
          </a:r>
        </a:p>
      </xdr:txBody>
    </xdr:sp>
    <xdr:clientData/>
  </xdr:twoCellAnchor>
  <xdr:oneCellAnchor>
    <xdr:from>
      <xdr:col>1</xdr:col>
      <xdr:colOff>121920</xdr:colOff>
      <xdr:row>12</xdr:row>
      <xdr:rowOff>57150</xdr:rowOff>
    </xdr:from>
    <xdr:ext cx="481029" cy="1874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4"/>
            <xdr:cNvSpPr txBox="1"/>
          </xdr:nvSpPr>
          <xdr:spPr>
            <a:xfrm>
              <a:off x="952500" y="5261610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000" i="1">
                        <a:latin typeface="Cambria Math" panose="02040503050406030204" pitchFamily="18" charset="0"/>
                      </a:rPr>
                      <m:t>∆</m:t>
                    </m:r>
                    <m:sSub>
                      <m:sSubPr>
                        <m:ctrlPr>
                          <a:rPr lang="en-US" altLang="zh-CN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</m:e>
                      <m:sub>
                        <m:r>
                          <a:rPr lang="zh-CN" altLang="en-US" sz="1000" i="1">
                            <a:latin typeface="Cambria Math" panose="02040503050406030204" pitchFamily="18" charset="0"/>
                          </a:rPr>
                          <m:t>出</m:t>
                        </m:r>
                      </m:sub>
                    </m:sSub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000" b="0" i="1">
                        <a:latin typeface="Cambria Math" panose="02040503050406030204" pitchFamily="18" charset="0"/>
                      </a:rPr>
                      <m:t>″</m:t>
                    </m:r>
                    <m:r>
                      <a:rPr lang="en-US" altLang="zh-CN" sz="10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000"/>
            </a:p>
          </xdr:txBody>
        </xdr:sp>
      </mc:Choice>
      <mc:Fallback xmlns="">
        <xdr:sp macro="" textlink="">
          <xdr:nvSpPr>
            <xdr:cNvPr id="5" name="文本框 4"/>
            <xdr:cNvSpPr txBox="1"/>
          </xdr:nvSpPr>
          <xdr:spPr>
            <a:xfrm>
              <a:off x="952500" y="5261610"/>
              <a:ext cx="481029" cy="187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000" i="0">
                  <a:latin typeface="Cambria Math" panose="02040503050406030204" pitchFamily="18" charset="0"/>
                </a:rPr>
                <a:t>∆</a:t>
              </a:r>
              <a:r>
                <a:rPr lang="en-US" altLang="zh-CN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∅_</a:t>
              </a:r>
              <a:r>
                <a:rPr lang="zh-CN" altLang="en-US" sz="1000" i="0">
                  <a:latin typeface="Cambria Math" panose="02040503050406030204" pitchFamily="18" charset="0"/>
                </a:rPr>
                <a:t>出</a:t>
              </a:r>
              <a:r>
                <a:rPr lang="en-US" altLang="zh-CN" sz="1000" b="0" i="0">
                  <a:latin typeface="Cambria Math" panose="02040503050406030204" pitchFamily="18" charset="0"/>
                </a:rPr>
                <a:t> (″)</a:t>
              </a:r>
              <a:endParaRPr lang="zh-CN" altLang="en-US" sz="1000"/>
            </a:p>
          </xdr:txBody>
        </xdr:sp>
      </mc:Fallback>
    </mc:AlternateContent>
    <xdr:clientData/>
  </xdr:oneCellAnchor>
  <xdr:twoCellAnchor>
    <xdr:from>
      <xdr:col>1</xdr:col>
      <xdr:colOff>198120</xdr:colOff>
      <xdr:row>8</xdr:row>
      <xdr:rowOff>38100</xdr:rowOff>
    </xdr:from>
    <xdr:to>
      <xdr:col>2</xdr:col>
      <xdr:colOff>106680</xdr:colOff>
      <xdr:row>8</xdr:row>
      <xdr:rowOff>304800</xdr:rowOff>
    </xdr:to>
    <xdr:sp macro="" textlink="">
      <xdr:nvSpPr>
        <xdr:cNvPr id="6" name="文本框 5"/>
        <xdr:cNvSpPr txBox="1"/>
      </xdr:nvSpPr>
      <xdr:spPr>
        <a:xfrm>
          <a:off x="1028700" y="3444240"/>
          <a:ext cx="67056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/>
            <a:t>序号</a:t>
          </a:r>
          <a:r>
            <a:rPr lang="zh-CN" altLang="en-US" sz="1100"/>
            <a:t> </a:t>
          </a:r>
        </a:p>
      </xdr:txBody>
    </xdr:sp>
    <xdr:clientData/>
  </xdr:twoCellAnchor>
  <xdr:twoCellAnchor>
    <xdr:from>
      <xdr:col>0</xdr:col>
      <xdr:colOff>160020</xdr:colOff>
      <xdr:row>8</xdr:row>
      <xdr:rowOff>182880</xdr:rowOff>
    </xdr:from>
    <xdr:to>
      <xdr:col>1</xdr:col>
      <xdr:colOff>15240</xdr:colOff>
      <xdr:row>8</xdr:row>
      <xdr:rowOff>449580</xdr:rowOff>
    </xdr:to>
    <xdr:sp macro="" textlink="">
      <xdr:nvSpPr>
        <xdr:cNvPr id="7" name="文本框 6"/>
        <xdr:cNvSpPr txBox="1"/>
      </xdr:nvSpPr>
      <xdr:spPr>
        <a:xfrm>
          <a:off x="160020" y="3589020"/>
          <a:ext cx="68580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/>
            <a:t>项目</a:t>
          </a:r>
          <a:r>
            <a:rPr lang="zh-CN" altLang="en-US" sz="1100"/>
            <a:t> </a:t>
          </a: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19</xdr:col>
      <xdr:colOff>38100</xdr:colOff>
      <xdr:row>41</xdr:row>
      <xdr:rowOff>62865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598170</xdr:colOff>
      <xdr:row>43</xdr:row>
      <xdr:rowOff>125731</xdr:rowOff>
    </xdr:from>
    <xdr:to>
      <xdr:col>22</xdr:col>
      <xdr:colOff>28575</xdr:colOff>
      <xdr:row>66</xdr:row>
      <xdr:rowOff>160021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979;&#35797;&#25253;&#21578;&#31295;&#27169;&#26495;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">
          <cell r="C5">
            <v>0</v>
          </cell>
          <cell r="D5">
            <v>15</v>
          </cell>
          <cell r="E5">
            <v>30</v>
          </cell>
          <cell r="F5">
            <v>45</v>
          </cell>
          <cell r="G5">
            <v>60</v>
          </cell>
          <cell r="H5">
            <v>75</v>
          </cell>
          <cell r="I5">
            <v>90</v>
          </cell>
          <cell r="J5">
            <v>105</v>
          </cell>
          <cell r="K5">
            <v>120</v>
          </cell>
          <cell r="L5">
            <v>135</v>
          </cell>
          <cell r="M5">
            <v>150</v>
          </cell>
          <cell r="N5">
            <v>165</v>
          </cell>
          <cell r="O5">
            <v>180</v>
          </cell>
          <cell r="P5">
            <v>195</v>
          </cell>
          <cell r="Q5">
            <v>210</v>
          </cell>
          <cell r="R5">
            <v>225</v>
          </cell>
          <cell r="S5">
            <v>240</v>
          </cell>
          <cell r="T5">
            <v>255</v>
          </cell>
          <cell r="U5">
            <v>270</v>
          </cell>
          <cell r="V5">
            <v>285</v>
          </cell>
          <cell r="W5">
            <v>300</v>
          </cell>
          <cell r="X5">
            <v>315</v>
          </cell>
          <cell r="Y5">
            <v>330</v>
          </cell>
          <cell r="Z5">
            <v>345</v>
          </cell>
          <cell r="AA5">
            <v>360</v>
          </cell>
        </row>
        <row r="7">
          <cell r="C7">
            <v>0</v>
          </cell>
          <cell r="D7">
            <v>40</v>
          </cell>
          <cell r="E7">
            <v>50</v>
          </cell>
          <cell r="F7">
            <v>30</v>
          </cell>
          <cell r="G7">
            <v>-30</v>
          </cell>
          <cell r="H7">
            <v>30</v>
          </cell>
          <cell r="I7">
            <v>-40</v>
          </cell>
          <cell r="J7">
            <v>-20</v>
          </cell>
          <cell r="K7">
            <v>-20</v>
          </cell>
          <cell r="L7">
            <v>-50</v>
          </cell>
          <cell r="M7">
            <v>0</v>
          </cell>
          <cell r="N7">
            <v>30</v>
          </cell>
          <cell r="O7">
            <v>-20</v>
          </cell>
          <cell r="P7">
            <v>-10</v>
          </cell>
          <cell r="Q7">
            <v>-20</v>
          </cell>
          <cell r="R7">
            <v>-10</v>
          </cell>
          <cell r="S7">
            <v>-50</v>
          </cell>
          <cell r="T7">
            <v>20</v>
          </cell>
          <cell r="U7">
            <v>10</v>
          </cell>
          <cell r="V7">
            <v>-50</v>
          </cell>
          <cell r="W7">
            <v>0</v>
          </cell>
          <cell r="X7">
            <v>20</v>
          </cell>
          <cell r="Y7">
            <v>0</v>
          </cell>
          <cell r="Z7">
            <v>10</v>
          </cell>
          <cell r="AA7">
            <v>-40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A77"/>
  <sheetViews>
    <sheetView topLeftCell="A17" zoomScale="110" zoomScaleNormal="110" workbookViewId="0">
      <selection activeCell="P12" sqref="P12"/>
    </sheetView>
  </sheetViews>
  <sheetFormatPr defaultRowHeight="13.8" x14ac:dyDescent="0.25"/>
  <sheetData>
    <row r="3" spans="1:53" x14ac:dyDescent="0.25">
      <c r="A3" s="9">
        <v>1</v>
      </c>
      <c r="B3" s="9">
        <v>2</v>
      </c>
      <c r="C3" s="9">
        <v>3</v>
      </c>
      <c r="D3" s="9">
        <v>4</v>
      </c>
      <c r="E3" s="9">
        <v>5</v>
      </c>
      <c r="F3" s="9">
        <v>6</v>
      </c>
      <c r="G3" s="9">
        <v>7</v>
      </c>
      <c r="H3" s="9">
        <v>8</v>
      </c>
      <c r="I3" s="9">
        <v>9</v>
      </c>
      <c r="J3" s="9">
        <v>10</v>
      </c>
      <c r="K3" s="9">
        <v>11</v>
      </c>
      <c r="L3" s="9">
        <v>12</v>
      </c>
      <c r="M3" s="9">
        <v>13</v>
      </c>
      <c r="N3" s="9">
        <v>14</v>
      </c>
      <c r="O3" s="9">
        <v>15</v>
      </c>
      <c r="P3" s="9">
        <v>16</v>
      </c>
      <c r="Q3" s="9">
        <v>17</v>
      </c>
      <c r="R3" s="9">
        <v>18</v>
      </c>
      <c r="S3" s="9">
        <v>19</v>
      </c>
      <c r="T3" s="9">
        <v>20</v>
      </c>
      <c r="U3" s="9">
        <v>21</v>
      </c>
      <c r="V3" s="9">
        <v>22</v>
      </c>
      <c r="W3" s="9">
        <v>23</v>
      </c>
      <c r="X3" s="9">
        <v>24</v>
      </c>
      <c r="Y3" s="9">
        <v>25</v>
      </c>
      <c r="Z3" s="9">
        <v>26</v>
      </c>
      <c r="AA3" s="9">
        <v>27</v>
      </c>
      <c r="AB3" s="9">
        <v>28</v>
      </c>
      <c r="AC3" s="9">
        <v>29</v>
      </c>
      <c r="AD3" s="9">
        <v>30</v>
      </c>
      <c r="AE3" s="9">
        <v>31</v>
      </c>
      <c r="AF3" s="9">
        <v>32</v>
      </c>
      <c r="AG3" s="9">
        <v>33</v>
      </c>
      <c r="AH3" s="9">
        <v>34</v>
      </c>
      <c r="AI3" s="9">
        <v>35</v>
      </c>
      <c r="AJ3" s="9">
        <v>36</v>
      </c>
      <c r="AK3" s="9">
        <v>37</v>
      </c>
      <c r="AL3" s="9">
        <v>38</v>
      </c>
    </row>
    <row r="4" spans="1:53" ht="33.6" customHeight="1" x14ac:dyDescent="0.25">
      <c r="A4" s="46" t="s">
        <v>7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53" ht="38.4" customHeight="1" x14ac:dyDescent="0.25">
      <c r="A5" s="42"/>
      <c r="B5" s="42"/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  <c r="I5" s="1">
        <v>7</v>
      </c>
      <c r="J5" s="1">
        <v>8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1">
        <v>15</v>
      </c>
      <c r="R5" s="1">
        <v>16</v>
      </c>
      <c r="S5" s="1">
        <v>17</v>
      </c>
      <c r="T5" s="1">
        <v>18</v>
      </c>
      <c r="U5" s="1">
        <v>19</v>
      </c>
      <c r="V5" s="1">
        <v>20</v>
      </c>
      <c r="W5" s="1">
        <v>21</v>
      </c>
      <c r="X5" s="1">
        <v>22</v>
      </c>
      <c r="Y5" s="1">
        <v>23</v>
      </c>
      <c r="Z5" s="1">
        <v>24</v>
      </c>
      <c r="AA5" s="1">
        <v>25</v>
      </c>
    </row>
    <row r="6" spans="1:53" ht="31.8" customHeight="1" x14ac:dyDescent="0.25">
      <c r="A6" s="44" t="s">
        <v>0</v>
      </c>
      <c r="B6" s="44"/>
      <c r="C6" s="3">
        <v>0</v>
      </c>
      <c r="D6" s="3">
        <f t="shared" ref="D6:Y6" si="0">C6+1500</f>
        <v>1500</v>
      </c>
      <c r="E6" s="3">
        <f t="shared" si="0"/>
        <v>3000</v>
      </c>
      <c r="F6" s="3">
        <f t="shared" si="0"/>
        <v>4500</v>
      </c>
      <c r="G6" s="3">
        <f t="shared" si="0"/>
        <v>6000</v>
      </c>
      <c r="H6" s="3">
        <f t="shared" si="0"/>
        <v>7500</v>
      </c>
      <c r="I6" s="3">
        <f t="shared" si="0"/>
        <v>9000</v>
      </c>
      <c r="J6" s="3">
        <f t="shared" si="0"/>
        <v>10500</v>
      </c>
      <c r="K6" s="3">
        <f t="shared" si="0"/>
        <v>12000</v>
      </c>
      <c r="L6" s="3">
        <f t="shared" si="0"/>
        <v>13500</v>
      </c>
      <c r="M6" s="3">
        <f t="shared" si="0"/>
        <v>15000</v>
      </c>
      <c r="N6" s="3">
        <f t="shared" si="0"/>
        <v>16500</v>
      </c>
      <c r="O6" s="3">
        <f t="shared" si="0"/>
        <v>18000</v>
      </c>
      <c r="P6" s="3">
        <f t="shared" si="0"/>
        <v>19500</v>
      </c>
      <c r="Q6" s="3">
        <f t="shared" si="0"/>
        <v>21000</v>
      </c>
      <c r="R6" s="3">
        <f t="shared" si="0"/>
        <v>22500</v>
      </c>
      <c r="S6" s="3">
        <f t="shared" si="0"/>
        <v>24000</v>
      </c>
      <c r="T6" s="3">
        <f t="shared" si="0"/>
        <v>25500</v>
      </c>
      <c r="U6" s="3">
        <f t="shared" si="0"/>
        <v>27000</v>
      </c>
      <c r="V6" s="3">
        <f t="shared" si="0"/>
        <v>28500</v>
      </c>
      <c r="W6" s="3">
        <f t="shared" si="0"/>
        <v>30000</v>
      </c>
      <c r="X6" s="3">
        <f t="shared" si="0"/>
        <v>31500</v>
      </c>
      <c r="Y6" s="3">
        <f t="shared" si="0"/>
        <v>33000</v>
      </c>
      <c r="Z6" s="3">
        <f t="shared" ref="Z6:AA6" si="1">Y6+1500</f>
        <v>34500</v>
      </c>
      <c r="AA6" s="3">
        <f t="shared" si="1"/>
        <v>36000</v>
      </c>
    </row>
    <row r="7" spans="1:53" ht="28.8" customHeight="1" x14ac:dyDescent="0.25">
      <c r="A7" s="47" t="s">
        <v>6</v>
      </c>
      <c r="B7" s="6" t="s">
        <v>1</v>
      </c>
      <c r="C7" s="4">
        <v>0</v>
      </c>
      <c r="D7" s="4">
        <f t="shared" ref="D7:Y7" si="2">C7+15</f>
        <v>15</v>
      </c>
      <c r="E7" s="4">
        <f t="shared" si="2"/>
        <v>30</v>
      </c>
      <c r="F7" s="4">
        <f t="shared" si="2"/>
        <v>45</v>
      </c>
      <c r="G7" s="4">
        <f t="shared" si="2"/>
        <v>60</v>
      </c>
      <c r="H7" s="4">
        <f t="shared" si="2"/>
        <v>75</v>
      </c>
      <c r="I7" s="4">
        <f t="shared" si="2"/>
        <v>90</v>
      </c>
      <c r="J7" s="4">
        <f t="shared" si="2"/>
        <v>105</v>
      </c>
      <c r="K7" s="4">
        <f t="shared" si="2"/>
        <v>120</v>
      </c>
      <c r="L7" s="4">
        <f t="shared" si="2"/>
        <v>135</v>
      </c>
      <c r="M7" s="4">
        <f t="shared" si="2"/>
        <v>150</v>
      </c>
      <c r="N7" s="4">
        <f t="shared" si="2"/>
        <v>165</v>
      </c>
      <c r="O7" s="4">
        <f t="shared" si="2"/>
        <v>180</v>
      </c>
      <c r="P7" s="4">
        <f t="shared" si="2"/>
        <v>195</v>
      </c>
      <c r="Q7" s="4">
        <f t="shared" si="2"/>
        <v>210</v>
      </c>
      <c r="R7" s="4">
        <f t="shared" si="2"/>
        <v>225</v>
      </c>
      <c r="S7" s="4">
        <f t="shared" si="2"/>
        <v>240</v>
      </c>
      <c r="T7" s="4">
        <f t="shared" si="2"/>
        <v>255</v>
      </c>
      <c r="U7" s="4">
        <f t="shared" si="2"/>
        <v>270</v>
      </c>
      <c r="V7" s="4">
        <f t="shared" si="2"/>
        <v>285</v>
      </c>
      <c r="W7" s="4">
        <f t="shared" si="2"/>
        <v>300</v>
      </c>
      <c r="X7" s="4">
        <f t="shared" si="2"/>
        <v>315</v>
      </c>
      <c r="Y7" s="4">
        <f t="shared" si="2"/>
        <v>330</v>
      </c>
      <c r="Z7" s="4">
        <f t="shared" ref="Z7:AA7" si="3">Y7+15</f>
        <v>345</v>
      </c>
      <c r="AA7" s="4">
        <f t="shared" si="3"/>
        <v>360</v>
      </c>
    </row>
    <row r="8" spans="1:53" ht="26.4" customHeight="1" x14ac:dyDescent="0.25">
      <c r="A8" s="48"/>
      <c r="B8" s="6" t="s">
        <v>2</v>
      </c>
      <c r="C8" s="1">
        <f>C7+C9</f>
        <v>0</v>
      </c>
      <c r="D8" s="1">
        <f>D7+D9/3600</f>
        <v>15.001930037398369</v>
      </c>
      <c r="E8" s="1">
        <f t="shared" ref="E8" si="4">E7+E9/3600</f>
        <v>30.013253738226286</v>
      </c>
      <c r="F8" s="1">
        <f t="shared" ref="F8" si="5">F7+F9/3600</f>
        <v>44.988115481886545</v>
      </c>
      <c r="G8" s="1">
        <f t="shared" ref="G8" si="6">G7+G9/3600</f>
        <v>60.012861110096047</v>
      </c>
      <c r="H8" s="1">
        <f t="shared" ref="H8" si="7">H7+H9/3600</f>
        <v>74.995030891653428</v>
      </c>
      <c r="I8" s="1">
        <f t="shared" ref="I8" si="8">I7+I9/3600</f>
        <v>90.009107764811191</v>
      </c>
      <c r="J8" s="1">
        <f t="shared" ref="J8" si="9">J7+J9/3600</f>
        <v>104.99563109099616</v>
      </c>
      <c r="K8" s="1">
        <f t="shared" ref="K8" si="10">K7+K9/3600</f>
        <v>120.01046642066387</v>
      </c>
      <c r="L8" s="1">
        <f t="shared" ref="L8" si="11">L7+L9/3600</f>
        <v>135.00025547440549</v>
      </c>
      <c r="M8" s="1">
        <f t="shared" ref="M8" si="12">M7+M9/3600</f>
        <v>149.9924856218604</v>
      </c>
      <c r="N8" s="1">
        <f t="shared" ref="N8" si="13">N7+N9/3600</f>
        <v>165.00276701880168</v>
      </c>
      <c r="O8" s="1">
        <f t="shared" ref="O8" si="14">O7+O9/3600</f>
        <v>180.00705938474229</v>
      </c>
      <c r="P8" s="1">
        <f t="shared" ref="P8" si="15">P7+P9/3600</f>
        <v>195.0033902977606</v>
      </c>
      <c r="Q8" s="1">
        <f t="shared" ref="Q8" si="16">Q7+Q9/3600</f>
        <v>210.01279244793852</v>
      </c>
      <c r="R8" s="1">
        <f t="shared" ref="R8" si="17">R7+R9/3600</f>
        <v>224.98953740331302</v>
      </c>
      <c r="S8" s="1">
        <f t="shared" ref="S8" si="18">S7+S9/3600</f>
        <v>239.98756113425637</v>
      </c>
      <c r="T8" s="1">
        <f t="shared" ref="T8" si="19">T7+T9/3600</f>
        <v>255.01004946174621</v>
      </c>
      <c r="U8" s="1">
        <f t="shared" ref="U8" si="20">U7+U9/3600</f>
        <v>270.01090880031467</v>
      </c>
      <c r="V8" s="1">
        <f t="shared" ref="V8" si="21">V7+V9/3600</f>
        <v>284.99594465695543</v>
      </c>
      <c r="W8" s="1">
        <f t="shared" ref="W8" si="22">W7+W9/3600</f>
        <v>299.98808867007648</v>
      </c>
      <c r="X8" s="1">
        <f t="shared" ref="X8" si="23">X7+X9/3600</f>
        <v>315.00080945376459</v>
      </c>
      <c r="Y8" s="1">
        <f t="shared" ref="Y8" si="24">Y7+Y9/3600</f>
        <v>330.01161466409513</v>
      </c>
      <c r="Z8" s="1">
        <f t="shared" ref="Z8" si="25">Z7+Z9/3600</f>
        <v>345.00580000000002</v>
      </c>
      <c r="AA8" s="1">
        <f t="shared" ref="AA8" si="26">AA7+AA9/3600</f>
        <v>360.00375000000003</v>
      </c>
    </row>
    <row r="9" spans="1:53" ht="24" customHeight="1" x14ac:dyDescent="0.25">
      <c r="A9" s="43" t="s">
        <v>9</v>
      </c>
      <c r="B9" s="43"/>
      <c r="C9" s="1">
        <v>0</v>
      </c>
      <c r="D9" s="5">
        <v>6.948134634130021</v>
      </c>
      <c r="E9" s="5">
        <v>47.7134576146277</v>
      </c>
      <c r="F9" s="5">
        <v>-42.784265208444808</v>
      </c>
      <c r="G9" s="5">
        <v>46.299996345779562</v>
      </c>
      <c r="H9" s="5">
        <v>-17.888790047672988</v>
      </c>
      <c r="I9" s="5">
        <v>32.787953320270013</v>
      </c>
      <c r="J9" s="5">
        <v>-15.728072413849803</v>
      </c>
      <c r="K9" s="5">
        <v>37.67911438996726</v>
      </c>
      <c r="L9" s="5">
        <v>0.91970785974433422</v>
      </c>
      <c r="M9" s="5">
        <v>-27.051761302538189</v>
      </c>
      <c r="N9" s="5">
        <v>9.9612676860121763</v>
      </c>
      <c r="O9" s="5">
        <v>25.413785072277996</v>
      </c>
      <c r="P9" s="5">
        <v>12.205071938138879</v>
      </c>
      <c r="Q9" s="5">
        <v>46.052812578711311</v>
      </c>
      <c r="R9" s="5">
        <v>-37.665348073145324</v>
      </c>
      <c r="S9" s="5">
        <v>-44.77991667707775</v>
      </c>
      <c r="T9" s="5">
        <v>36.178062286353907</v>
      </c>
      <c r="U9" s="5">
        <v>39.271681132715287</v>
      </c>
      <c r="V9" s="5">
        <v>-14.599234960547914</v>
      </c>
      <c r="W9" s="5">
        <v>-42.880787724768901</v>
      </c>
      <c r="X9" s="5">
        <v>2.9140335525540295</v>
      </c>
      <c r="Y9" s="5">
        <v>41.812790742400111</v>
      </c>
      <c r="Z9" s="5">
        <v>20.88</v>
      </c>
      <c r="AA9" s="5">
        <v>13.5</v>
      </c>
    </row>
    <row r="11" spans="1:53" ht="35.4" customHeight="1" x14ac:dyDescent="0.25">
      <c r="A11" s="46" t="s">
        <v>8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53" ht="35.4" customHeight="1" x14ac:dyDescent="0.25">
      <c r="A12" s="42"/>
      <c r="B12" s="42"/>
      <c r="C12" s="1">
        <v>1</v>
      </c>
      <c r="D12" s="1">
        <v>2</v>
      </c>
      <c r="E12" s="1">
        <v>3</v>
      </c>
      <c r="F12" s="1">
        <v>4</v>
      </c>
      <c r="G12" s="1">
        <v>5</v>
      </c>
      <c r="H12" s="1">
        <v>6</v>
      </c>
      <c r="I12" s="1">
        <v>7</v>
      </c>
      <c r="J12" s="1">
        <v>8</v>
      </c>
      <c r="K12" s="1">
        <v>9</v>
      </c>
      <c r="L12" s="1">
        <v>10</v>
      </c>
      <c r="M12" s="1">
        <v>11</v>
      </c>
      <c r="N12" s="1">
        <v>12</v>
      </c>
      <c r="O12" s="1">
        <v>13</v>
      </c>
      <c r="P12" s="1">
        <v>14</v>
      </c>
      <c r="Q12" s="1">
        <v>15</v>
      </c>
      <c r="R12" s="1">
        <v>16</v>
      </c>
      <c r="S12" s="1">
        <v>17</v>
      </c>
      <c r="T12" s="1">
        <v>18</v>
      </c>
      <c r="U12" s="1">
        <v>19</v>
      </c>
      <c r="V12" s="1">
        <v>20</v>
      </c>
      <c r="W12" s="1">
        <v>21</v>
      </c>
      <c r="X12" s="1">
        <v>22</v>
      </c>
      <c r="Y12" s="1">
        <v>23</v>
      </c>
      <c r="Z12" s="1">
        <v>24</v>
      </c>
      <c r="AA12" s="1">
        <v>25</v>
      </c>
    </row>
    <row r="13" spans="1:53" ht="35.4" customHeight="1" x14ac:dyDescent="0.25">
      <c r="A13" s="44" t="s">
        <v>0</v>
      </c>
      <c r="B13" s="44"/>
      <c r="C13" s="3">
        <v>0</v>
      </c>
      <c r="D13" s="3">
        <f t="shared" ref="D13:Y13" si="27">C13+1500</f>
        <v>1500</v>
      </c>
      <c r="E13" s="3">
        <f t="shared" si="27"/>
        <v>3000</v>
      </c>
      <c r="F13" s="3">
        <f t="shared" si="27"/>
        <v>4500</v>
      </c>
      <c r="G13" s="3">
        <f t="shared" si="27"/>
        <v>6000</v>
      </c>
      <c r="H13" s="3">
        <f t="shared" si="27"/>
        <v>7500</v>
      </c>
      <c r="I13" s="3">
        <f t="shared" si="27"/>
        <v>9000</v>
      </c>
      <c r="J13" s="3">
        <f t="shared" si="27"/>
        <v>10500</v>
      </c>
      <c r="K13" s="3">
        <f t="shared" si="27"/>
        <v>12000</v>
      </c>
      <c r="L13" s="3">
        <f t="shared" si="27"/>
        <v>13500</v>
      </c>
      <c r="M13" s="3">
        <f t="shared" si="27"/>
        <v>15000</v>
      </c>
      <c r="N13" s="3">
        <f t="shared" si="27"/>
        <v>16500</v>
      </c>
      <c r="O13" s="3">
        <f t="shared" si="27"/>
        <v>18000</v>
      </c>
      <c r="P13" s="3">
        <f t="shared" si="27"/>
        <v>19500</v>
      </c>
      <c r="Q13" s="3">
        <f t="shared" si="27"/>
        <v>21000</v>
      </c>
      <c r="R13" s="3">
        <f t="shared" si="27"/>
        <v>22500</v>
      </c>
      <c r="S13" s="3">
        <f t="shared" si="27"/>
        <v>24000</v>
      </c>
      <c r="T13" s="3">
        <f t="shared" si="27"/>
        <v>25500</v>
      </c>
      <c r="U13" s="3">
        <f t="shared" si="27"/>
        <v>27000</v>
      </c>
      <c r="V13" s="3">
        <f t="shared" si="27"/>
        <v>28500</v>
      </c>
      <c r="W13" s="3">
        <f t="shared" si="27"/>
        <v>30000</v>
      </c>
      <c r="X13" s="3">
        <f t="shared" si="27"/>
        <v>31500</v>
      </c>
      <c r="Y13" s="3">
        <f t="shared" si="27"/>
        <v>33000</v>
      </c>
      <c r="Z13" s="3">
        <f t="shared" ref="Z13:AA13" si="28">Y13+1500</f>
        <v>34500</v>
      </c>
      <c r="AA13" s="3">
        <f t="shared" si="28"/>
        <v>36000</v>
      </c>
    </row>
    <row r="14" spans="1:53" ht="35.4" customHeight="1" x14ac:dyDescent="0.25">
      <c r="A14" s="45" t="s">
        <v>5</v>
      </c>
      <c r="B14" s="6" t="s">
        <v>1</v>
      </c>
      <c r="C14" s="4">
        <v>0</v>
      </c>
      <c r="D14" s="4">
        <f t="shared" ref="D14:Y14" si="29">C14+15</f>
        <v>15</v>
      </c>
      <c r="E14" s="4">
        <f t="shared" si="29"/>
        <v>30</v>
      </c>
      <c r="F14" s="4">
        <f t="shared" si="29"/>
        <v>45</v>
      </c>
      <c r="G14" s="4">
        <f t="shared" si="29"/>
        <v>60</v>
      </c>
      <c r="H14" s="4">
        <f t="shared" si="29"/>
        <v>75</v>
      </c>
      <c r="I14" s="4">
        <f t="shared" si="29"/>
        <v>90</v>
      </c>
      <c r="J14" s="4">
        <f t="shared" si="29"/>
        <v>105</v>
      </c>
      <c r="K14" s="4">
        <f t="shared" si="29"/>
        <v>120</v>
      </c>
      <c r="L14" s="4">
        <f t="shared" si="29"/>
        <v>135</v>
      </c>
      <c r="M14" s="4">
        <f t="shared" si="29"/>
        <v>150</v>
      </c>
      <c r="N14" s="4">
        <f t="shared" si="29"/>
        <v>165</v>
      </c>
      <c r="O14" s="4">
        <f t="shared" si="29"/>
        <v>180</v>
      </c>
      <c r="P14" s="4">
        <f t="shared" si="29"/>
        <v>195</v>
      </c>
      <c r="Q14" s="4">
        <f t="shared" si="29"/>
        <v>210</v>
      </c>
      <c r="R14" s="4">
        <f t="shared" si="29"/>
        <v>225</v>
      </c>
      <c r="S14" s="4">
        <f t="shared" si="29"/>
        <v>240</v>
      </c>
      <c r="T14" s="4">
        <f t="shared" si="29"/>
        <v>255</v>
      </c>
      <c r="U14" s="4">
        <f t="shared" si="29"/>
        <v>270</v>
      </c>
      <c r="V14" s="4">
        <f t="shared" si="29"/>
        <v>285</v>
      </c>
      <c r="W14" s="4">
        <f t="shared" si="29"/>
        <v>300</v>
      </c>
      <c r="X14" s="4">
        <f t="shared" si="29"/>
        <v>315</v>
      </c>
      <c r="Y14" s="4">
        <f t="shared" si="29"/>
        <v>330</v>
      </c>
      <c r="Z14" s="4">
        <f t="shared" ref="Z14:AA14" si="30">Y14+15</f>
        <v>345</v>
      </c>
      <c r="AA14" s="4">
        <f t="shared" si="30"/>
        <v>360</v>
      </c>
    </row>
    <row r="15" spans="1:53" ht="35.4" customHeight="1" x14ac:dyDescent="0.25">
      <c r="A15" s="45"/>
      <c r="B15" s="6" t="s">
        <v>2</v>
      </c>
      <c r="C15" s="1">
        <f>C14+C16</f>
        <v>0</v>
      </c>
      <c r="D15" s="1">
        <f>D14+D16/3600</f>
        <v>15.008333333333333</v>
      </c>
      <c r="E15" s="1">
        <f t="shared" ref="E15" si="31">E14+E16/3600</f>
        <v>30.005555555555556</v>
      </c>
      <c r="F15" s="1">
        <f t="shared" ref="F15" si="32">F14+F16/3600</f>
        <v>44.99722222222222</v>
      </c>
      <c r="G15" s="1">
        <f t="shared" ref="G15" si="33">G14+G16/3600</f>
        <v>59.991666666666667</v>
      </c>
      <c r="H15" s="1">
        <f t="shared" ref="H15" si="34">H14+H16/3600</f>
        <v>74.99722222222222</v>
      </c>
      <c r="I15" s="1">
        <f t="shared" ref="I15" si="35">I14+I16/3600</f>
        <v>89.99444444444444</v>
      </c>
      <c r="J15" s="1">
        <f t="shared" ref="J15" si="36">J14+J16/3600</f>
        <v>105</v>
      </c>
      <c r="K15" s="1">
        <f t="shared" ref="K15" si="37">K14+K16/3600</f>
        <v>119.98888888888889</v>
      </c>
      <c r="L15" s="1">
        <f t="shared" ref="L15" si="38">L14+L16/3600</f>
        <v>134.99166666666667</v>
      </c>
      <c r="M15" s="1">
        <f t="shared" ref="M15" si="39">M14+M16/3600</f>
        <v>150.01388888888889</v>
      </c>
      <c r="N15" s="1">
        <f t="shared" ref="N15" si="40">N14+N16/3600</f>
        <v>164.98611111111111</v>
      </c>
      <c r="O15" s="1">
        <f t="shared" ref="O15" si="41">O14+O16/3600</f>
        <v>180.00555555555556</v>
      </c>
      <c r="P15" s="1">
        <f t="shared" ref="P15" si="42">P14+P16/3600</f>
        <v>194.98611111111111</v>
      </c>
      <c r="Q15" s="1">
        <f t="shared" ref="Q15" si="43">Q14+Q16/3600</f>
        <v>209.99444444444444</v>
      </c>
      <c r="R15" s="1">
        <f t="shared" ref="R15" si="44">R14+R16/3600</f>
        <v>225.01388888888889</v>
      </c>
      <c r="S15" s="1">
        <f t="shared" ref="S15" si="45">S14+S16/3600</f>
        <v>240</v>
      </c>
      <c r="T15" s="1">
        <f t="shared" ref="T15" si="46">T14+T16/3600</f>
        <v>255.00277777777777</v>
      </c>
      <c r="U15" s="1">
        <f t="shared" ref="U15" si="47">U14+U16/3600</f>
        <v>270.00277777777779</v>
      </c>
      <c r="V15" s="1">
        <f t="shared" ref="V15" si="48">V14+V16/3600</f>
        <v>284.99166666666667</v>
      </c>
      <c r="W15" s="1">
        <f t="shared" ref="W15" si="49">W14+W16/3600</f>
        <v>299.99444444444447</v>
      </c>
      <c r="X15" s="1">
        <f t="shared" ref="X15" si="50">X14+X16/3600</f>
        <v>314.99444444444447</v>
      </c>
      <c r="Y15" s="1">
        <f t="shared" ref="Y15" si="51">Y14+Y16/3600</f>
        <v>329.98888888888888</v>
      </c>
      <c r="Z15" s="1">
        <f t="shared" ref="Z15" si="52">Z14+Z16/3600</f>
        <v>344.99151111111109</v>
      </c>
      <c r="AA15" s="1">
        <f t="shared" ref="AA15" si="53">AA14+AA16/3600</f>
        <v>359.99835833333333</v>
      </c>
    </row>
    <row r="16" spans="1:53" ht="35.4" customHeight="1" x14ac:dyDescent="0.25">
      <c r="A16" s="43" t="s">
        <v>10</v>
      </c>
      <c r="B16" s="43"/>
      <c r="C16" s="1">
        <v>0</v>
      </c>
      <c r="D16" s="1">
        <v>30</v>
      </c>
      <c r="E16" s="1">
        <v>20</v>
      </c>
      <c r="F16" s="1">
        <v>-10</v>
      </c>
      <c r="G16" s="1">
        <v>-30</v>
      </c>
      <c r="H16" s="1">
        <v>-10</v>
      </c>
      <c r="I16" s="1">
        <v>-20</v>
      </c>
      <c r="J16" s="1">
        <v>0</v>
      </c>
      <c r="K16" s="1">
        <v>-40</v>
      </c>
      <c r="L16" s="1">
        <v>-30</v>
      </c>
      <c r="M16" s="1">
        <v>50</v>
      </c>
      <c r="N16" s="1">
        <v>-50</v>
      </c>
      <c r="O16" s="1">
        <v>20</v>
      </c>
      <c r="P16" s="1">
        <v>-50</v>
      </c>
      <c r="Q16" s="1">
        <v>-20</v>
      </c>
      <c r="R16" s="1">
        <v>50</v>
      </c>
      <c r="S16" s="1">
        <v>0</v>
      </c>
      <c r="T16" s="1">
        <v>10</v>
      </c>
      <c r="U16" s="1">
        <v>10</v>
      </c>
      <c r="V16" s="1">
        <v>-30</v>
      </c>
      <c r="W16" s="1">
        <v>-20</v>
      </c>
      <c r="X16" s="1">
        <v>-20</v>
      </c>
      <c r="Y16" s="1">
        <v>-40</v>
      </c>
      <c r="Z16" s="1">
        <v>-30.56</v>
      </c>
      <c r="AA16" s="1">
        <v>-5.91</v>
      </c>
      <c r="AC16" s="1">
        <v>-5.91</v>
      </c>
      <c r="AD16" s="1">
        <v>-30.56</v>
      </c>
      <c r="AE16" s="1">
        <v>-40</v>
      </c>
      <c r="AF16" s="1">
        <v>-20</v>
      </c>
      <c r="AG16" s="1">
        <v>-20</v>
      </c>
      <c r="AH16" s="1">
        <v>-30</v>
      </c>
      <c r="AI16" s="1">
        <v>10</v>
      </c>
      <c r="AJ16" s="1">
        <v>10</v>
      </c>
      <c r="AK16" s="1">
        <v>0</v>
      </c>
      <c r="AL16" s="1">
        <v>50</v>
      </c>
      <c r="AM16" s="1">
        <v>-20</v>
      </c>
      <c r="AN16" s="1">
        <v>-50</v>
      </c>
      <c r="AO16" s="1">
        <v>20</v>
      </c>
      <c r="AP16" s="1">
        <v>-50</v>
      </c>
      <c r="AQ16" s="1">
        <v>50</v>
      </c>
      <c r="AR16" s="1">
        <v>-30</v>
      </c>
      <c r="AS16" s="1">
        <v>-40</v>
      </c>
      <c r="AT16" s="1">
        <v>0</v>
      </c>
      <c r="AU16" s="12">
        <v>-20</v>
      </c>
      <c r="AV16" s="12">
        <v>-10</v>
      </c>
      <c r="AW16" s="12">
        <v>-30</v>
      </c>
      <c r="AX16" s="12">
        <v>-10</v>
      </c>
      <c r="AY16" s="12">
        <v>20</v>
      </c>
      <c r="AZ16" s="12">
        <v>30</v>
      </c>
      <c r="BA16" s="12">
        <v>0</v>
      </c>
    </row>
    <row r="17" spans="1:27" ht="22.8" customHeight="1" x14ac:dyDescent="0.25"/>
    <row r="18" spans="1:27" ht="35.4" customHeight="1" x14ac:dyDescent="0.25">
      <c r="A18" s="42"/>
      <c r="B18" s="42"/>
      <c r="C18" s="1">
        <v>1</v>
      </c>
      <c r="D18" s="1">
        <v>2</v>
      </c>
      <c r="E18" s="1">
        <v>3</v>
      </c>
      <c r="F18" s="1">
        <v>4</v>
      </c>
      <c r="G18" s="1">
        <v>5</v>
      </c>
      <c r="H18" s="1">
        <v>6</v>
      </c>
      <c r="I18" s="1">
        <v>7</v>
      </c>
      <c r="J18" s="1">
        <v>8</v>
      </c>
      <c r="K18" s="1">
        <v>9</v>
      </c>
      <c r="L18" s="1">
        <v>10</v>
      </c>
      <c r="M18" s="1">
        <v>11</v>
      </c>
      <c r="N18" s="1">
        <v>12</v>
      </c>
      <c r="O18" s="1">
        <v>13</v>
      </c>
      <c r="P18" s="1">
        <v>14</v>
      </c>
      <c r="Q18" s="1">
        <v>15</v>
      </c>
      <c r="R18" s="1">
        <v>16</v>
      </c>
      <c r="S18" s="1">
        <v>17</v>
      </c>
      <c r="T18" s="1">
        <v>18</v>
      </c>
      <c r="U18" s="1">
        <v>19</v>
      </c>
      <c r="V18" s="1">
        <v>20</v>
      </c>
      <c r="W18" s="1">
        <v>21</v>
      </c>
      <c r="X18" s="1">
        <v>22</v>
      </c>
      <c r="Y18" s="1">
        <v>23</v>
      </c>
      <c r="Z18" s="1">
        <v>24</v>
      </c>
      <c r="AA18" s="1">
        <v>25</v>
      </c>
    </row>
    <row r="19" spans="1:27" ht="35.4" customHeight="1" x14ac:dyDescent="0.25">
      <c r="A19" s="43" t="s">
        <v>25</v>
      </c>
      <c r="B19" s="43"/>
      <c r="C19" s="1">
        <f>ABS(C9-AC16)</f>
        <v>5.91</v>
      </c>
      <c r="D19" s="1">
        <f t="shared" ref="D19:AA19" si="54">ABS(D9-AD16)</f>
        <v>37.508134634130016</v>
      </c>
      <c r="E19" s="1">
        <f t="shared" si="54"/>
        <v>87.7134576146277</v>
      </c>
      <c r="F19" s="1">
        <f t="shared" si="54"/>
        <v>22.784265208444808</v>
      </c>
      <c r="G19" s="1">
        <f t="shared" si="54"/>
        <v>66.299996345779562</v>
      </c>
      <c r="H19" s="1">
        <f t="shared" si="54"/>
        <v>12.111209952327012</v>
      </c>
      <c r="I19" s="1">
        <f t="shared" si="54"/>
        <v>22.787953320270013</v>
      </c>
      <c r="J19" s="1">
        <f t="shared" si="54"/>
        <v>25.728072413849802</v>
      </c>
      <c r="K19" s="1">
        <f t="shared" si="54"/>
        <v>37.67911438996726</v>
      </c>
      <c r="L19" s="1">
        <f t="shared" si="54"/>
        <v>49.080292140255665</v>
      </c>
      <c r="M19" s="1">
        <f t="shared" si="54"/>
        <v>7.0517613025381891</v>
      </c>
      <c r="N19" s="1">
        <f t="shared" si="54"/>
        <v>59.961267686012178</v>
      </c>
      <c r="O19" s="1">
        <f t="shared" si="54"/>
        <v>5.4137850722779959</v>
      </c>
      <c r="P19" s="1">
        <f t="shared" si="54"/>
        <v>62.205071938138879</v>
      </c>
      <c r="Q19" s="1">
        <f t="shared" si="54"/>
        <v>3.9471874212886888</v>
      </c>
      <c r="R19" s="1">
        <f t="shared" si="54"/>
        <v>7.6653480731453243</v>
      </c>
      <c r="S19" s="1">
        <f t="shared" si="54"/>
        <v>4.7799166770777504</v>
      </c>
      <c r="T19" s="1">
        <f t="shared" si="54"/>
        <v>36.178062286353907</v>
      </c>
      <c r="U19" s="1">
        <f t="shared" si="54"/>
        <v>59.271681132715287</v>
      </c>
      <c r="V19" s="1">
        <f t="shared" si="54"/>
        <v>4.5992349605479141</v>
      </c>
      <c r="W19" s="1">
        <f t="shared" si="54"/>
        <v>12.880787724768901</v>
      </c>
      <c r="X19" s="1">
        <f t="shared" si="54"/>
        <v>12.914033552554029</v>
      </c>
      <c r="Y19" s="1">
        <f t="shared" si="54"/>
        <v>21.812790742400111</v>
      </c>
      <c r="Z19" s="1">
        <f t="shared" si="54"/>
        <v>9.120000000000001</v>
      </c>
      <c r="AA19" s="1">
        <f t="shared" si="54"/>
        <v>13.5</v>
      </c>
    </row>
    <row r="20" spans="1:27" ht="22.8" customHeight="1" x14ac:dyDescent="0.25"/>
    <row r="21" spans="1:27" ht="22.8" customHeight="1" x14ac:dyDescent="0.25"/>
    <row r="22" spans="1:27" ht="22.8" customHeight="1" x14ac:dyDescent="0.25"/>
    <row r="23" spans="1:27" ht="22.8" customHeight="1" x14ac:dyDescent="0.25"/>
    <row r="24" spans="1:27" ht="22.8" customHeight="1" x14ac:dyDescent="0.25"/>
    <row r="25" spans="1:27" ht="22.8" customHeight="1" x14ac:dyDescent="0.25"/>
    <row r="26" spans="1:27" ht="22.8" customHeight="1" x14ac:dyDescent="0.25"/>
    <row r="73" ht="37.200000000000003" customHeight="1" x14ac:dyDescent="0.25"/>
    <row r="74" ht="37.200000000000003" customHeight="1" x14ac:dyDescent="0.25"/>
    <row r="75" ht="37.200000000000003" customHeight="1" x14ac:dyDescent="0.25"/>
    <row r="76" ht="37.200000000000003" customHeight="1" x14ac:dyDescent="0.25"/>
    <row r="77" ht="37.200000000000003" customHeight="1" x14ac:dyDescent="0.25"/>
  </sheetData>
  <mergeCells count="12">
    <mergeCell ref="A4:AA4"/>
    <mergeCell ref="A11:AA11"/>
    <mergeCell ref="A5:B5"/>
    <mergeCell ref="A6:B6"/>
    <mergeCell ref="A7:A8"/>
    <mergeCell ref="A9:B9"/>
    <mergeCell ref="A18:B18"/>
    <mergeCell ref="A19:B19"/>
    <mergeCell ref="A12:B12"/>
    <mergeCell ref="A13:B13"/>
    <mergeCell ref="A14:A15"/>
    <mergeCell ref="A16:B16"/>
  </mergeCells>
  <phoneticPr fontId="2" type="noConversion"/>
  <pageMargins left="0" right="0" top="0.74803149606299213" bottom="0.74803149606299213" header="0.31496062992125984" footer="0.31496062992125984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49"/>
  <sheetViews>
    <sheetView tabSelected="1" topLeftCell="AJ34" zoomScale="70" zoomScaleNormal="70" workbookViewId="0">
      <selection activeCell="BO59" sqref="BO59"/>
    </sheetView>
  </sheetViews>
  <sheetFormatPr defaultRowHeight="13.8" x14ac:dyDescent="0.25"/>
  <cols>
    <col min="1" max="1" width="11.77734375" customWidth="1"/>
    <col min="2" max="25" width="7.88671875" customWidth="1"/>
  </cols>
  <sheetData>
    <row r="1" spans="1:108" ht="31.8" customHeight="1" x14ac:dyDescent="0.25">
      <c r="T1" s="12">
        <v>5</v>
      </c>
      <c r="U1" s="12">
        <v>4</v>
      </c>
      <c r="V1" s="12">
        <v>3</v>
      </c>
      <c r="W1" s="12">
        <v>2</v>
      </c>
      <c r="X1" s="12">
        <v>1</v>
      </c>
    </row>
    <row r="2" spans="1:108" ht="20.399999999999999" x14ac:dyDescent="0.25">
      <c r="A2" s="46" t="s">
        <v>21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33"/>
      <c r="S2" s="33"/>
      <c r="T2" s="30">
        <v>5.2</v>
      </c>
      <c r="U2" s="30">
        <v>3.9000000000000004</v>
      </c>
      <c r="V2" s="30">
        <v>2.6</v>
      </c>
      <c r="W2" s="30">
        <v>1.3</v>
      </c>
      <c r="X2" s="30">
        <v>0</v>
      </c>
      <c r="Y2" s="33"/>
      <c r="BP2">
        <v>1</v>
      </c>
      <c r="BQ2">
        <v>2</v>
      </c>
      <c r="BR2">
        <v>3</v>
      </c>
      <c r="BS2">
        <v>4</v>
      </c>
      <c r="BT2">
        <v>5</v>
      </c>
      <c r="BU2">
        <v>6</v>
      </c>
      <c r="BV2">
        <v>7</v>
      </c>
      <c r="BW2">
        <v>8</v>
      </c>
      <c r="BX2">
        <v>9</v>
      </c>
      <c r="BY2">
        <v>10</v>
      </c>
      <c r="BZ2">
        <v>11</v>
      </c>
      <c r="CA2">
        <v>12</v>
      </c>
      <c r="CB2">
        <v>13</v>
      </c>
      <c r="CC2">
        <v>14</v>
      </c>
      <c r="CD2">
        <v>15</v>
      </c>
      <c r="CE2">
        <v>16</v>
      </c>
      <c r="CF2">
        <v>17</v>
      </c>
      <c r="CG2">
        <v>18</v>
      </c>
      <c r="CH2">
        <v>19</v>
      </c>
      <c r="CI2">
        <v>20</v>
      </c>
      <c r="CJ2">
        <v>21</v>
      </c>
      <c r="CK2">
        <v>22</v>
      </c>
      <c r="CL2">
        <v>23</v>
      </c>
      <c r="CM2">
        <v>24</v>
      </c>
      <c r="CN2">
        <v>25</v>
      </c>
      <c r="CO2">
        <v>26</v>
      </c>
      <c r="CP2">
        <v>27</v>
      </c>
      <c r="CQ2">
        <v>28</v>
      </c>
      <c r="CR2">
        <v>29</v>
      </c>
      <c r="CS2">
        <v>30</v>
      </c>
      <c r="CT2">
        <v>31</v>
      </c>
      <c r="CU2">
        <v>32</v>
      </c>
      <c r="CV2">
        <v>33</v>
      </c>
      <c r="CW2">
        <v>34</v>
      </c>
      <c r="CX2">
        <v>35</v>
      </c>
      <c r="CY2">
        <v>36</v>
      </c>
      <c r="CZ2">
        <v>37</v>
      </c>
      <c r="DA2">
        <v>38</v>
      </c>
      <c r="DB2">
        <v>39</v>
      </c>
      <c r="DC2">
        <v>40</v>
      </c>
      <c r="DD2">
        <v>41</v>
      </c>
    </row>
    <row r="3" spans="1:108" ht="42" customHeight="1" x14ac:dyDescent="0.25">
      <c r="A3" s="8"/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34"/>
      <c r="S3" s="34"/>
      <c r="Y3" s="34"/>
      <c r="AA3" s="12">
        <v>1</v>
      </c>
      <c r="AB3" s="12">
        <v>2</v>
      </c>
      <c r="AC3" s="12">
        <v>3</v>
      </c>
      <c r="AD3" s="12">
        <v>4</v>
      </c>
      <c r="AE3" s="12">
        <v>5</v>
      </c>
      <c r="AF3" s="12">
        <v>6</v>
      </c>
      <c r="AG3" s="12">
        <v>7</v>
      </c>
      <c r="AH3" s="12">
        <v>8</v>
      </c>
      <c r="AI3" s="12">
        <v>9</v>
      </c>
      <c r="AJ3" s="12">
        <v>10</v>
      </c>
      <c r="AK3" s="12">
        <v>11</v>
      </c>
      <c r="AL3" s="12">
        <v>12</v>
      </c>
      <c r="AM3" s="12">
        <v>13</v>
      </c>
      <c r="AN3" s="12">
        <v>14</v>
      </c>
      <c r="AO3" s="12">
        <v>15</v>
      </c>
      <c r="AP3" s="12">
        <v>16</v>
      </c>
      <c r="AQ3" s="12">
        <v>17</v>
      </c>
      <c r="AR3" s="12">
        <v>18</v>
      </c>
      <c r="AS3" s="12">
        <v>19</v>
      </c>
      <c r="AT3" s="12">
        <v>20</v>
      </c>
      <c r="AU3" s="12">
        <v>21</v>
      </c>
      <c r="AV3" s="12">
        <v>22</v>
      </c>
      <c r="AW3" s="12">
        <v>23</v>
      </c>
      <c r="AX3" s="12">
        <v>24</v>
      </c>
      <c r="AY3" s="12">
        <v>25</v>
      </c>
      <c r="AZ3" s="12">
        <v>26</v>
      </c>
      <c r="BA3" s="12">
        <v>27</v>
      </c>
      <c r="BB3" s="12">
        <v>28</v>
      </c>
      <c r="BC3" s="12">
        <v>29</v>
      </c>
      <c r="BD3" s="12">
        <v>30</v>
      </c>
      <c r="BE3" s="12">
        <v>31</v>
      </c>
      <c r="BF3" s="12">
        <v>32</v>
      </c>
      <c r="BG3" s="12">
        <v>33</v>
      </c>
      <c r="BH3" s="12">
        <v>34</v>
      </c>
      <c r="BI3" s="12">
        <v>35</v>
      </c>
      <c r="BJ3" s="12">
        <v>36</v>
      </c>
      <c r="BK3" s="12">
        <v>37</v>
      </c>
      <c r="BL3" s="12">
        <v>38</v>
      </c>
      <c r="BM3" s="12">
        <v>39</v>
      </c>
      <c r="BN3" s="12">
        <v>40</v>
      </c>
      <c r="BO3" s="12">
        <v>41</v>
      </c>
      <c r="BP3" s="12">
        <v>42</v>
      </c>
      <c r="BQ3" s="12">
        <v>43</v>
      </c>
      <c r="BR3" s="12">
        <v>44</v>
      </c>
      <c r="BS3" s="12">
        <v>45</v>
      </c>
      <c r="BT3" s="12">
        <v>46</v>
      </c>
      <c r="BU3" s="12">
        <v>47</v>
      </c>
      <c r="BV3" s="12">
        <v>48</v>
      </c>
      <c r="BW3" s="12">
        <v>49</v>
      </c>
      <c r="BX3" s="12">
        <v>50</v>
      </c>
      <c r="BY3" s="12">
        <v>51</v>
      </c>
      <c r="BZ3" s="12">
        <v>52</v>
      </c>
      <c r="CA3" s="12">
        <v>53</v>
      </c>
      <c r="CB3" s="12">
        <v>54</v>
      </c>
      <c r="CC3" s="12">
        <v>55</v>
      </c>
      <c r="CD3" s="12">
        <v>56</v>
      </c>
      <c r="CE3" s="12">
        <v>57</v>
      </c>
      <c r="CF3" s="12">
        <v>58</v>
      </c>
      <c r="CG3" s="12">
        <v>59</v>
      </c>
      <c r="CH3" s="12">
        <v>60</v>
      </c>
      <c r="CI3" s="12">
        <v>61</v>
      </c>
      <c r="CJ3" s="12">
        <v>62</v>
      </c>
      <c r="CK3" s="12">
        <v>63</v>
      </c>
      <c r="CL3" s="12">
        <v>64</v>
      </c>
      <c r="CM3" s="12">
        <v>65</v>
      </c>
      <c r="CN3" s="12">
        <v>66</v>
      </c>
      <c r="CO3" s="12">
        <v>67</v>
      </c>
      <c r="CP3" s="12">
        <v>68</v>
      </c>
      <c r="CQ3" s="12">
        <v>69</v>
      </c>
      <c r="CR3" s="12">
        <v>70</v>
      </c>
      <c r="CS3" s="12">
        <v>71</v>
      </c>
      <c r="CT3" s="12">
        <v>72</v>
      </c>
      <c r="CU3" s="12">
        <v>73</v>
      </c>
      <c r="CV3" s="12">
        <v>74</v>
      </c>
      <c r="CW3" s="12">
        <v>75</v>
      </c>
      <c r="CX3" s="12">
        <v>76</v>
      </c>
      <c r="CY3" s="12">
        <v>77</v>
      </c>
      <c r="CZ3" s="12">
        <v>78</v>
      </c>
      <c r="DA3" s="12">
        <v>79</v>
      </c>
      <c r="DB3" s="12">
        <v>80</v>
      </c>
      <c r="DC3" s="12">
        <v>81</v>
      </c>
      <c r="DD3" s="12">
        <v>82</v>
      </c>
    </row>
    <row r="4" spans="1:108" ht="27" customHeight="1" x14ac:dyDescent="0.25">
      <c r="A4" s="7" t="s">
        <v>11</v>
      </c>
      <c r="B4" s="27">
        <v>0</v>
      </c>
      <c r="C4" s="27">
        <v>1.3</v>
      </c>
      <c r="D4" s="27">
        <f>C4+1.3</f>
        <v>2.6</v>
      </c>
      <c r="E4" s="27">
        <f t="shared" ref="E4:Q4" si="0">D4+1.3</f>
        <v>3.9000000000000004</v>
      </c>
      <c r="F4" s="27">
        <f t="shared" si="0"/>
        <v>5.2</v>
      </c>
      <c r="G4" s="27">
        <f t="shared" si="0"/>
        <v>6.5</v>
      </c>
      <c r="H4" s="27">
        <f t="shared" si="0"/>
        <v>7.8</v>
      </c>
      <c r="I4" s="27">
        <f t="shared" si="0"/>
        <v>9.1</v>
      </c>
      <c r="J4" s="27">
        <f t="shared" si="0"/>
        <v>10.4</v>
      </c>
      <c r="K4" s="27">
        <f t="shared" si="0"/>
        <v>11.700000000000001</v>
      </c>
      <c r="L4" s="27">
        <f t="shared" si="0"/>
        <v>13.000000000000002</v>
      </c>
      <c r="M4" s="27">
        <f t="shared" si="0"/>
        <v>14.300000000000002</v>
      </c>
      <c r="N4" s="27">
        <f t="shared" si="0"/>
        <v>15.600000000000003</v>
      </c>
      <c r="O4" s="27">
        <f t="shared" si="0"/>
        <v>16.900000000000002</v>
      </c>
      <c r="P4" s="27">
        <f t="shared" si="0"/>
        <v>18.200000000000003</v>
      </c>
      <c r="Q4" s="27">
        <f t="shared" si="0"/>
        <v>19.500000000000004</v>
      </c>
      <c r="R4" s="32"/>
      <c r="S4" s="32"/>
      <c r="T4" s="32"/>
      <c r="U4" s="32"/>
      <c r="V4" s="32"/>
      <c r="W4" s="32"/>
      <c r="X4" s="32"/>
      <c r="Y4" s="32"/>
      <c r="Z4" s="24" t="s">
        <v>11</v>
      </c>
      <c r="AA4" s="30">
        <v>0</v>
      </c>
      <c r="AB4" s="30">
        <v>1.3</v>
      </c>
      <c r="AC4" s="30">
        <v>2.6</v>
      </c>
      <c r="AD4" s="30">
        <v>3.9000000000000004</v>
      </c>
      <c r="AE4" s="30">
        <v>5.2</v>
      </c>
      <c r="AF4" s="30">
        <v>6.5</v>
      </c>
      <c r="AG4" s="30">
        <v>7.8</v>
      </c>
      <c r="AH4" s="30">
        <v>9.1</v>
      </c>
      <c r="AI4" s="30">
        <v>10.4</v>
      </c>
      <c r="AJ4" s="30">
        <v>11.700000000000001</v>
      </c>
      <c r="AK4" s="30">
        <v>13.000000000000002</v>
      </c>
      <c r="AL4" s="30">
        <v>14.300000000000002</v>
      </c>
      <c r="AM4" s="30">
        <v>15.600000000000003</v>
      </c>
      <c r="AN4" s="30">
        <v>16.900000000000002</v>
      </c>
      <c r="AO4" s="30">
        <v>18.200000000000003</v>
      </c>
      <c r="AP4" s="30">
        <v>19.500000000000004</v>
      </c>
      <c r="AQ4" s="30">
        <v>20.8</v>
      </c>
      <c r="AR4" s="30">
        <v>22.1</v>
      </c>
      <c r="AS4" s="30">
        <v>23.400000000000002</v>
      </c>
      <c r="AT4" s="30">
        <v>24.700000000000003</v>
      </c>
      <c r="AU4" s="30">
        <v>26.000000000000004</v>
      </c>
      <c r="AV4" s="30">
        <v>27.300000000000004</v>
      </c>
      <c r="AW4" s="30">
        <v>28.600000000000005</v>
      </c>
      <c r="AX4" s="30">
        <v>29.900000000000006</v>
      </c>
      <c r="AY4" s="30">
        <v>31.200000000000006</v>
      </c>
      <c r="AZ4" s="30">
        <v>32.500000000000007</v>
      </c>
      <c r="BA4" s="27">
        <v>33.800000000000004</v>
      </c>
      <c r="BB4" s="27">
        <v>35.1</v>
      </c>
      <c r="BC4" s="30">
        <v>36.4</v>
      </c>
      <c r="BD4" s="30">
        <v>37.699999999999996</v>
      </c>
      <c r="BE4" s="30">
        <v>38.999999999999993</v>
      </c>
      <c r="BF4" s="30">
        <v>40.29999999999999</v>
      </c>
      <c r="BG4" s="30">
        <v>41.6</v>
      </c>
      <c r="BH4" s="30">
        <v>42.9</v>
      </c>
      <c r="BI4" s="30">
        <v>44.199999999999996</v>
      </c>
      <c r="BJ4" s="30">
        <v>45.499999999999993</v>
      </c>
      <c r="BK4" s="30">
        <v>46.79999999999999</v>
      </c>
      <c r="BL4" s="30">
        <v>48.099999999999987</v>
      </c>
      <c r="BM4" s="30">
        <v>49.399999999999984</v>
      </c>
      <c r="BN4" s="30">
        <v>50.699999999999982</v>
      </c>
      <c r="BO4" s="30">
        <v>51.999999999999979</v>
      </c>
      <c r="BP4" s="13">
        <v>0</v>
      </c>
      <c r="BQ4" s="13">
        <f>BP4+1.3</f>
        <v>1.3</v>
      </c>
      <c r="BR4" s="13">
        <f t="shared" ref="BR4:DD4" si="1">BQ4+1.3</f>
        <v>2.6</v>
      </c>
      <c r="BS4" s="13">
        <f t="shared" si="1"/>
        <v>3.9000000000000004</v>
      </c>
      <c r="BT4" s="13">
        <f t="shared" si="1"/>
        <v>5.2</v>
      </c>
      <c r="BU4" s="13">
        <f t="shared" si="1"/>
        <v>6.5</v>
      </c>
      <c r="BV4" s="13">
        <f t="shared" si="1"/>
        <v>7.8</v>
      </c>
      <c r="BW4" s="13">
        <f t="shared" si="1"/>
        <v>9.1</v>
      </c>
      <c r="BX4" s="13">
        <f t="shared" si="1"/>
        <v>10.4</v>
      </c>
      <c r="BY4" s="13">
        <f t="shared" si="1"/>
        <v>11.700000000000001</v>
      </c>
      <c r="BZ4" s="13">
        <f t="shared" si="1"/>
        <v>13.000000000000002</v>
      </c>
      <c r="CA4" s="13">
        <f t="shared" si="1"/>
        <v>14.300000000000002</v>
      </c>
      <c r="CB4" s="13">
        <f t="shared" si="1"/>
        <v>15.600000000000003</v>
      </c>
      <c r="CC4" s="13">
        <f t="shared" si="1"/>
        <v>16.900000000000002</v>
      </c>
      <c r="CD4" s="13">
        <f t="shared" si="1"/>
        <v>18.200000000000003</v>
      </c>
      <c r="CE4" s="13">
        <f t="shared" si="1"/>
        <v>19.500000000000004</v>
      </c>
      <c r="CF4" s="13">
        <f t="shared" si="1"/>
        <v>20.800000000000004</v>
      </c>
      <c r="CG4" s="13">
        <f t="shared" si="1"/>
        <v>22.100000000000005</v>
      </c>
      <c r="CH4" s="13">
        <f t="shared" si="1"/>
        <v>23.400000000000006</v>
      </c>
      <c r="CI4" s="13">
        <f t="shared" si="1"/>
        <v>24.700000000000006</v>
      </c>
      <c r="CJ4" s="13">
        <f t="shared" si="1"/>
        <v>26.000000000000007</v>
      </c>
      <c r="CK4" s="13">
        <f t="shared" si="1"/>
        <v>27.300000000000008</v>
      </c>
      <c r="CL4" s="13">
        <f t="shared" si="1"/>
        <v>28.600000000000009</v>
      </c>
      <c r="CM4" s="13">
        <f t="shared" si="1"/>
        <v>29.900000000000009</v>
      </c>
      <c r="CN4" s="13">
        <f t="shared" si="1"/>
        <v>31.20000000000001</v>
      </c>
      <c r="CO4" s="13">
        <f t="shared" si="1"/>
        <v>32.500000000000007</v>
      </c>
      <c r="CP4" s="13">
        <f t="shared" si="1"/>
        <v>33.800000000000004</v>
      </c>
      <c r="CQ4" s="13">
        <f t="shared" si="1"/>
        <v>35.1</v>
      </c>
      <c r="CR4" s="13">
        <f t="shared" si="1"/>
        <v>36.4</v>
      </c>
      <c r="CS4" s="13">
        <f t="shared" si="1"/>
        <v>37.699999999999996</v>
      </c>
      <c r="CT4" s="13">
        <f t="shared" si="1"/>
        <v>38.999999999999993</v>
      </c>
      <c r="CU4" s="13">
        <f t="shared" si="1"/>
        <v>40.29999999999999</v>
      </c>
      <c r="CV4" s="13">
        <f t="shared" si="1"/>
        <v>41.599999999999987</v>
      </c>
      <c r="CW4" s="13">
        <f t="shared" si="1"/>
        <v>42.899999999999984</v>
      </c>
      <c r="CX4" s="13">
        <f t="shared" si="1"/>
        <v>44.199999999999982</v>
      </c>
      <c r="CY4" s="13">
        <f t="shared" si="1"/>
        <v>45.499999999999979</v>
      </c>
      <c r="CZ4" s="13">
        <f t="shared" si="1"/>
        <v>46.799999999999976</v>
      </c>
      <c r="DA4" s="13">
        <f t="shared" si="1"/>
        <v>48.099999999999973</v>
      </c>
      <c r="DB4" s="13">
        <f t="shared" si="1"/>
        <v>49.39999999999997</v>
      </c>
      <c r="DC4" s="13">
        <f t="shared" si="1"/>
        <v>50.699999999999967</v>
      </c>
      <c r="DD4" s="13">
        <f t="shared" si="1"/>
        <v>51.999999999999964</v>
      </c>
    </row>
    <row r="5" spans="1:108" ht="30" customHeight="1" x14ac:dyDescent="0.25">
      <c r="A5" s="7" t="s">
        <v>12</v>
      </c>
      <c r="B5" s="27">
        <v>46.22</v>
      </c>
      <c r="C5" s="29">
        <v>67.25</v>
      </c>
      <c r="D5" s="29">
        <v>88.16</v>
      </c>
      <c r="E5" s="29">
        <v>108.79</v>
      </c>
      <c r="F5" s="27">
        <v>129.02000000000001</v>
      </c>
      <c r="G5" s="29">
        <v>148.71</v>
      </c>
      <c r="H5" s="29">
        <v>167.78</v>
      </c>
      <c r="I5" s="29">
        <v>186.13</v>
      </c>
      <c r="J5" s="27">
        <v>203.71</v>
      </c>
      <c r="K5" s="29">
        <v>220.46</v>
      </c>
      <c r="L5" s="29">
        <v>235.33</v>
      </c>
      <c r="M5" s="29">
        <v>251.37</v>
      </c>
      <c r="N5" s="27">
        <v>265.52</v>
      </c>
      <c r="O5" s="29">
        <v>278.79000000000002</v>
      </c>
      <c r="P5" s="28">
        <v>291.2</v>
      </c>
      <c r="Q5" s="29">
        <v>302.77</v>
      </c>
      <c r="R5" s="37"/>
      <c r="S5" s="37"/>
      <c r="T5" s="37"/>
      <c r="U5" s="37"/>
      <c r="V5" s="37"/>
      <c r="W5" s="37"/>
      <c r="X5" s="37"/>
      <c r="Y5" s="32" t="s">
        <v>22</v>
      </c>
      <c r="Z5" s="24" t="s">
        <v>12</v>
      </c>
      <c r="AA5" s="13">
        <v>46.22</v>
      </c>
      <c r="AB5" s="13">
        <v>67.25</v>
      </c>
      <c r="AC5" s="13">
        <v>88.16</v>
      </c>
      <c r="AD5" s="13">
        <v>108.79</v>
      </c>
      <c r="AE5" s="13">
        <v>129.02000000000001</v>
      </c>
      <c r="AF5" s="13">
        <v>148.71</v>
      </c>
      <c r="AG5" s="13">
        <v>167.78</v>
      </c>
      <c r="AH5" s="13">
        <v>186.13</v>
      </c>
      <c r="AI5" s="13">
        <v>203.71</v>
      </c>
      <c r="AJ5" s="13">
        <v>220.46</v>
      </c>
      <c r="AK5" s="13">
        <v>235.33</v>
      </c>
      <c r="AL5" s="13">
        <v>251.37</v>
      </c>
      <c r="AM5" s="13">
        <v>265.52</v>
      </c>
      <c r="AN5" s="13">
        <v>278.79000000000002</v>
      </c>
      <c r="AO5" s="13">
        <v>291.2</v>
      </c>
      <c r="AP5" s="13">
        <v>302.77</v>
      </c>
      <c r="AQ5" s="13">
        <v>313.51</v>
      </c>
      <c r="AR5" s="13">
        <v>323.45999999999998</v>
      </c>
      <c r="AS5" s="13">
        <v>332.64</v>
      </c>
      <c r="AT5" s="13">
        <v>341.07</v>
      </c>
      <c r="AU5" s="13">
        <v>348.79</v>
      </c>
      <c r="AV5" s="13">
        <v>355.83</v>
      </c>
      <c r="AW5" s="13">
        <v>362.26</v>
      </c>
      <c r="AX5" s="13">
        <v>368.13</v>
      </c>
      <c r="AY5" s="13">
        <v>373.5</v>
      </c>
      <c r="AZ5" s="13">
        <v>378.4</v>
      </c>
      <c r="BA5" s="3">
        <v>382.88</v>
      </c>
      <c r="BB5" s="3">
        <v>386.97</v>
      </c>
      <c r="BC5" s="13">
        <v>390.68</v>
      </c>
      <c r="BD5" s="13">
        <v>394.05</v>
      </c>
      <c r="BE5" s="13">
        <v>397.09</v>
      </c>
      <c r="BF5" s="13">
        <v>399.82</v>
      </c>
      <c r="BG5" s="13">
        <v>401.49</v>
      </c>
      <c r="BH5" s="13">
        <v>402.26</v>
      </c>
      <c r="BI5" s="13">
        <v>406.31</v>
      </c>
      <c r="BJ5" s="13">
        <v>404.62</v>
      </c>
      <c r="BK5" s="13">
        <v>409.32</v>
      </c>
      <c r="BL5" s="13">
        <v>407.77</v>
      </c>
      <c r="BM5" s="13">
        <v>411.34</v>
      </c>
      <c r="BN5" s="13">
        <v>412.05</v>
      </c>
      <c r="BO5" s="13">
        <v>412.5</v>
      </c>
      <c r="BP5" s="13">
        <v>46.22</v>
      </c>
      <c r="BQ5" s="13">
        <v>67.25</v>
      </c>
      <c r="BR5" s="13">
        <v>88.16</v>
      </c>
      <c r="BS5" s="13">
        <v>108.79</v>
      </c>
      <c r="BT5" s="13">
        <v>129.02000000000001</v>
      </c>
      <c r="BU5" s="13">
        <v>148.71</v>
      </c>
      <c r="BV5" s="13">
        <v>167.78</v>
      </c>
      <c r="BW5" s="13">
        <v>186.13</v>
      </c>
      <c r="BX5" s="13">
        <v>203.71</v>
      </c>
      <c r="BY5" s="13">
        <v>220.46</v>
      </c>
      <c r="BZ5" s="13">
        <v>235.33</v>
      </c>
      <c r="CA5" s="13">
        <v>251.37</v>
      </c>
      <c r="CB5" s="13">
        <v>265.52</v>
      </c>
      <c r="CC5" s="13">
        <v>278.79000000000002</v>
      </c>
      <c r="CD5" s="13">
        <v>291.2</v>
      </c>
      <c r="CE5" s="13">
        <v>302.77</v>
      </c>
      <c r="CF5" s="13">
        <v>313.51</v>
      </c>
      <c r="CG5" s="13">
        <v>323.45999999999998</v>
      </c>
      <c r="CH5" s="13">
        <v>332.64</v>
      </c>
      <c r="CI5" s="13">
        <v>341.07</v>
      </c>
      <c r="CJ5" s="13">
        <v>348.79</v>
      </c>
      <c r="CK5" s="13">
        <v>355.83</v>
      </c>
      <c r="CL5" s="13">
        <v>362.26</v>
      </c>
      <c r="CM5" s="13">
        <v>368.13</v>
      </c>
      <c r="CN5" s="13">
        <v>373.5</v>
      </c>
      <c r="CO5" s="13">
        <v>378.4</v>
      </c>
      <c r="CP5" s="3">
        <v>382.88</v>
      </c>
      <c r="CQ5" s="3">
        <v>386.97</v>
      </c>
      <c r="CR5" s="13">
        <v>390.68</v>
      </c>
      <c r="CS5" s="13">
        <v>394.05</v>
      </c>
      <c r="CT5" s="13">
        <v>397.09</v>
      </c>
      <c r="CU5" s="13">
        <v>399.82</v>
      </c>
      <c r="CV5" s="13">
        <v>401.49</v>
      </c>
      <c r="CW5" s="13">
        <v>402.26</v>
      </c>
      <c r="CX5" s="13">
        <v>406.31</v>
      </c>
      <c r="CY5" s="13">
        <v>404.62</v>
      </c>
      <c r="CZ5" s="13">
        <v>409.32</v>
      </c>
      <c r="DA5" s="13">
        <v>407.77</v>
      </c>
      <c r="DB5" s="13">
        <v>411.34</v>
      </c>
      <c r="DC5" s="13">
        <v>412.05</v>
      </c>
      <c r="DD5" s="13">
        <v>412.5</v>
      </c>
    </row>
    <row r="6" spans="1:108" s="9" customFormat="1" ht="36" customHeight="1" x14ac:dyDescent="0.25">
      <c r="A6" s="36"/>
      <c r="B6" s="4">
        <v>17</v>
      </c>
      <c r="C6" s="4">
        <v>18</v>
      </c>
      <c r="D6" s="4">
        <v>19</v>
      </c>
      <c r="E6" s="4">
        <v>20</v>
      </c>
      <c r="F6" s="4">
        <v>21</v>
      </c>
      <c r="G6" s="4">
        <v>22</v>
      </c>
      <c r="H6" s="4">
        <v>23</v>
      </c>
      <c r="I6" s="4">
        <v>24</v>
      </c>
      <c r="J6" s="4">
        <v>25</v>
      </c>
      <c r="K6" s="4">
        <v>26</v>
      </c>
      <c r="L6" s="4">
        <v>27</v>
      </c>
      <c r="M6" s="4">
        <v>28</v>
      </c>
      <c r="N6" s="4">
        <v>29</v>
      </c>
      <c r="O6" s="4">
        <v>30</v>
      </c>
      <c r="P6" s="4">
        <v>31</v>
      </c>
      <c r="Q6" s="4">
        <v>32</v>
      </c>
      <c r="R6" s="26"/>
      <c r="S6" s="26"/>
      <c r="T6" s="26"/>
      <c r="U6" s="26"/>
      <c r="V6" s="26"/>
      <c r="W6" s="26"/>
      <c r="X6" s="26"/>
      <c r="Y6" s="26" t="s">
        <v>23</v>
      </c>
      <c r="Z6" s="24" t="s">
        <v>12</v>
      </c>
      <c r="AA6" s="4">
        <v>-46.22</v>
      </c>
      <c r="AB6" s="1">
        <v>-25.22</v>
      </c>
      <c r="AC6" s="1">
        <v>-4.33</v>
      </c>
      <c r="AD6" s="1">
        <v>16.329999999999998</v>
      </c>
      <c r="AE6" s="1">
        <v>36.68</v>
      </c>
      <c r="AF6" s="1">
        <v>56.64</v>
      </c>
      <c r="AG6" s="1">
        <v>76.13</v>
      </c>
      <c r="AH6" s="1">
        <v>95.09</v>
      </c>
      <c r="AI6" s="1">
        <v>113.47</v>
      </c>
      <c r="AJ6" s="1">
        <v>131.22999999999999</v>
      </c>
      <c r="AK6" s="1">
        <v>148.34</v>
      </c>
      <c r="AL6" s="1">
        <v>164.77</v>
      </c>
      <c r="AM6" s="1">
        <v>180.51</v>
      </c>
      <c r="AN6" s="1">
        <v>195.56</v>
      </c>
      <c r="AO6" s="1">
        <v>209.92</v>
      </c>
      <c r="AP6" s="1">
        <v>223.59</v>
      </c>
      <c r="AQ6" s="1">
        <v>236.6</v>
      </c>
      <c r="AR6" s="1">
        <v>248.94</v>
      </c>
      <c r="AS6" s="1">
        <v>260.64999999999998</v>
      </c>
      <c r="AT6" s="1">
        <v>271.73</v>
      </c>
      <c r="AU6" s="1">
        <v>282.20999999999998</v>
      </c>
      <c r="AV6" s="1">
        <v>292.12</v>
      </c>
      <c r="AW6" s="1">
        <v>301.5</v>
      </c>
      <c r="AX6" s="1">
        <v>310.39999999999998</v>
      </c>
      <c r="AY6" s="1">
        <v>318.85000000000002</v>
      </c>
      <c r="AZ6" s="1">
        <v>326.89999999999998</v>
      </c>
      <c r="BA6" s="1">
        <v>334.58</v>
      </c>
      <c r="BB6" s="1">
        <v>341.9</v>
      </c>
      <c r="BC6" s="1">
        <v>348.89</v>
      </c>
      <c r="BD6" s="1">
        <v>355.57</v>
      </c>
      <c r="BE6" s="1">
        <v>361.95</v>
      </c>
      <c r="BF6" s="1">
        <v>368.07</v>
      </c>
      <c r="BG6" s="1">
        <v>373.91</v>
      </c>
      <c r="BH6" s="1">
        <v>379.51</v>
      </c>
      <c r="BI6" s="1">
        <v>384.87</v>
      </c>
      <c r="BJ6" s="1">
        <v>390</v>
      </c>
      <c r="BK6" s="1">
        <v>394.91</v>
      </c>
      <c r="BL6" s="1">
        <v>399.61</v>
      </c>
      <c r="BM6" s="1">
        <v>404.1</v>
      </c>
      <c r="BN6" s="1">
        <v>407.77</v>
      </c>
      <c r="BO6" s="1">
        <v>412.5</v>
      </c>
      <c r="BP6" s="4">
        <v>-46.22</v>
      </c>
      <c r="BQ6" s="1">
        <v>-25.22</v>
      </c>
      <c r="BR6" s="1">
        <v>-4.33</v>
      </c>
      <c r="BS6" s="1">
        <v>16.329999999999998</v>
      </c>
      <c r="BT6" s="1">
        <v>36.68</v>
      </c>
      <c r="BU6" s="1">
        <v>56.64</v>
      </c>
      <c r="BV6" s="1">
        <v>76.13</v>
      </c>
      <c r="BW6" s="1">
        <v>95.09</v>
      </c>
      <c r="BX6" s="1">
        <v>113.47</v>
      </c>
      <c r="BY6" s="1">
        <v>131.22999999999999</v>
      </c>
      <c r="BZ6" s="1">
        <v>148.34</v>
      </c>
      <c r="CA6" s="1">
        <v>164.77</v>
      </c>
      <c r="CB6" s="1">
        <v>180.51</v>
      </c>
      <c r="CC6" s="1">
        <v>195.56</v>
      </c>
      <c r="CD6" s="1">
        <v>209.92</v>
      </c>
      <c r="CE6" s="1">
        <v>223.59</v>
      </c>
      <c r="CF6" s="1">
        <v>236.6</v>
      </c>
      <c r="CG6" s="1">
        <v>248.94</v>
      </c>
      <c r="CH6" s="1">
        <v>260.64999999999998</v>
      </c>
      <c r="CI6" s="1">
        <v>271.73</v>
      </c>
      <c r="CJ6" s="1">
        <v>282.20999999999998</v>
      </c>
      <c r="CK6" s="1">
        <v>292.12</v>
      </c>
      <c r="CL6" s="1">
        <v>301.5</v>
      </c>
      <c r="CM6" s="1">
        <v>310.39999999999998</v>
      </c>
      <c r="CN6" s="1">
        <v>318.85000000000002</v>
      </c>
      <c r="CO6" s="1">
        <v>326.89999999999998</v>
      </c>
      <c r="CP6" s="1">
        <v>334.58</v>
      </c>
      <c r="CQ6" s="1">
        <v>341.9</v>
      </c>
      <c r="CR6" s="1">
        <v>348.89</v>
      </c>
      <c r="CS6" s="1">
        <v>355.57</v>
      </c>
      <c r="CT6" s="1">
        <v>361.95</v>
      </c>
      <c r="CU6" s="1">
        <v>368.07</v>
      </c>
      <c r="CV6" s="1">
        <v>373.91</v>
      </c>
      <c r="CW6" s="1">
        <v>379.51</v>
      </c>
      <c r="CX6" s="1">
        <v>384.87</v>
      </c>
      <c r="CY6" s="1">
        <v>390</v>
      </c>
      <c r="CZ6" s="1">
        <v>394.91</v>
      </c>
      <c r="DA6" s="1">
        <v>399.61</v>
      </c>
      <c r="DB6" s="1">
        <v>404.1</v>
      </c>
      <c r="DC6" s="1">
        <v>407.77</v>
      </c>
      <c r="DD6" s="1">
        <v>412.5</v>
      </c>
    </row>
    <row r="7" spans="1:108" s="9" customFormat="1" ht="27.6" customHeight="1" x14ac:dyDescent="0.25">
      <c r="A7" s="24" t="s">
        <v>11</v>
      </c>
      <c r="B7" s="27">
        <v>20.8</v>
      </c>
      <c r="C7" s="27">
        <f>B7+1.3</f>
        <v>22.1</v>
      </c>
      <c r="D7" s="27">
        <f t="shared" ref="D7:Q7" si="2">C7+1.3</f>
        <v>23.400000000000002</v>
      </c>
      <c r="E7" s="27">
        <f t="shared" si="2"/>
        <v>24.700000000000003</v>
      </c>
      <c r="F7" s="27">
        <f t="shared" si="2"/>
        <v>26.000000000000004</v>
      </c>
      <c r="G7" s="27">
        <f t="shared" si="2"/>
        <v>27.300000000000004</v>
      </c>
      <c r="H7" s="27">
        <f t="shared" si="2"/>
        <v>28.600000000000005</v>
      </c>
      <c r="I7" s="27">
        <f t="shared" si="2"/>
        <v>29.900000000000006</v>
      </c>
      <c r="J7" s="27">
        <f t="shared" si="2"/>
        <v>31.200000000000006</v>
      </c>
      <c r="K7" s="27">
        <f t="shared" si="2"/>
        <v>32.500000000000007</v>
      </c>
      <c r="L7" s="27">
        <f t="shared" si="2"/>
        <v>33.800000000000004</v>
      </c>
      <c r="M7" s="27">
        <f t="shared" si="2"/>
        <v>35.1</v>
      </c>
      <c r="N7" s="27">
        <f t="shared" si="2"/>
        <v>36.4</v>
      </c>
      <c r="O7" s="27">
        <f t="shared" si="2"/>
        <v>37.699999999999996</v>
      </c>
      <c r="P7" s="27">
        <f t="shared" si="2"/>
        <v>38.999999999999993</v>
      </c>
      <c r="Q7" s="27">
        <f t="shared" si="2"/>
        <v>40.29999999999999</v>
      </c>
      <c r="R7" s="32"/>
      <c r="S7" s="32"/>
      <c r="T7" s="32"/>
      <c r="U7" s="32"/>
      <c r="V7" s="32"/>
      <c r="W7" s="32"/>
      <c r="X7" s="32"/>
      <c r="Y7" s="32" t="s">
        <v>24</v>
      </c>
      <c r="Z7" s="24" t="s">
        <v>12</v>
      </c>
      <c r="AA7" s="1">
        <v>0</v>
      </c>
      <c r="AB7" s="1">
        <v>22.41</v>
      </c>
      <c r="AC7" s="1">
        <v>43.57</v>
      </c>
      <c r="AD7" s="1">
        <v>63.74</v>
      </c>
      <c r="AE7" s="1">
        <v>83.11</v>
      </c>
      <c r="AF7" s="1">
        <v>101.81</v>
      </c>
      <c r="AG7" s="1">
        <v>119.99</v>
      </c>
      <c r="AH7" s="1">
        <v>137.74</v>
      </c>
      <c r="AI7" s="1">
        <v>155.13999999999999</v>
      </c>
      <c r="AJ7" s="1">
        <v>172.18</v>
      </c>
      <c r="AK7" s="1">
        <v>188.74</v>
      </c>
      <c r="AL7" s="1">
        <v>204.73</v>
      </c>
      <c r="AM7" s="1">
        <v>220.07</v>
      </c>
      <c r="AN7" s="1">
        <v>234.7</v>
      </c>
      <c r="AO7" s="1">
        <v>248.6</v>
      </c>
      <c r="AP7" s="1">
        <v>261.72000000000003</v>
      </c>
      <c r="AQ7" s="1">
        <v>274.05</v>
      </c>
      <c r="AR7" s="1">
        <v>285.58999999999997</v>
      </c>
      <c r="AS7" s="1">
        <v>296.33999999999997</v>
      </c>
      <c r="AT7" s="1">
        <v>306.3</v>
      </c>
      <c r="AU7" s="1">
        <v>315.5</v>
      </c>
      <c r="AV7" s="1">
        <v>323.95999999999998</v>
      </c>
      <c r="AW7" s="1">
        <v>331.77</v>
      </c>
      <c r="AX7" s="1">
        <v>339.01</v>
      </c>
      <c r="AY7" s="1">
        <v>345.75</v>
      </c>
      <c r="AZ7" s="1">
        <v>352.05</v>
      </c>
      <c r="BA7" s="1">
        <v>357.95</v>
      </c>
      <c r="BB7" s="1">
        <v>363.5</v>
      </c>
      <c r="BC7" s="1">
        <v>368.74</v>
      </c>
      <c r="BD7" s="1">
        <v>373.7</v>
      </c>
      <c r="BE7" s="1">
        <v>378.42</v>
      </c>
      <c r="BF7" s="1">
        <v>382.91</v>
      </c>
      <c r="BG7" s="1">
        <v>387.17</v>
      </c>
      <c r="BH7" s="1">
        <v>391.19</v>
      </c>
      <c r="BI7" s="1">
        <v>394.98</v>
      </c>
      <c r="BJ7" s="1">
        <v>398.52</v>
      </c>
      <c r="BK7" s="1">
        <v>401.82</v>
      </c>
      <c r="BL7" s="1">
        <v>404.88</v>
      </c>
      <c r="BM7" s="1">
        <v>407.67</v>
      </c>
      <c r="BN7" s="1">
        <v>410.22</v>
      </c>
      <c r="BO7" s="1">
        <v>412.5</v>
      </c>
      <c r="BP7" s="1">
        <v>0</v>
      </c>
      <c r="BQ7" s="1">
        <v>22.41</v>
      </c>
      <c r="BR7" s="1">
        <v>43.57</v>
      </c>
      <c r="BS7" s="1">
        <v>63.74</v>
      </c>
      <c r="BT7" s="1">
        <v>83.11</v>
      </c>
      <c r="BU7" s="1">
        <v>101.81</v>
      </c>
      <c r="BV7" s="1">
        <v>119.99</v>
      </c>
      <c r="BW7" s="1">
        <v>137.74</v>
      </c>
      <c r="BX7" s="1">
        <v>155.13999999999999</v>
      </c>
      <c r="BY7" s="1">
        <v>172.18</v>
      </c>
      <c r="BZ7" s="1">
        <v>188.74</v>
      </c>
      <c r="CA7" s="1">
        <v>204.73</v>
      </c>
      <c r="CB7" s="1">
        <v>220.07</v>
      </c>
      <c r="CC7" s="1">
        <v>234.7</v>
      </c>
      <c r="CD7" s="1">
        <v>248.6</v>
      </c>
      <c r="CE7" s="1">
        <v>261.72000000000003</v>
      </c>
      <c r="CF7" s="1">
        <v>274.05</v>
      </c>
      <c r="CG7" s="1">
        <v>285.58999999999997</v>
      </c>
      <c r="CH7" s="1">
        <v>296.33999999999997</v>
      </c>
      <c r="CI7" s="1">
        <v>306.3</v>
      </c>
      <c r="CJ7" s="1">
        <v>315.5</v>
      </c>
      <c r="CK7" s="1">
        <v>323.95999999999998</v>
      </c>
      <c r="CL7" s="1">
        <v>331.77</v>
      </c>
      <c r="CM7" s="1">
        <v>339.01</v>
      </c>
      <c r="CN7" s="1">
        <v>345.75</v>
      </c>
      <c r="CO7" s="1">
        <v>352.05</v>
      </c>
      <c r="CP7" s="1">
        <v>357.95</v>
      </c>
      <c r="CQ7" s="1">
        <v>363.5</v>
      </c>
      <c r="CR7" s="1">
        <v>368.74</v>
      </c>
      <c r="CS7" s="1">
        <v>373.7</v>
      </c>
      <c r="CT7" s="1">
        <v>378.42</v>
      </c>
      <c r="CU7" s="1">
        <v>382.91</v>
      </c>
      <c r="CV7" s="1">
        <v>387.17</v>
      </c>
      <c r="CW7" s="1">
        <v>391.19</v>
      </c>
      <c r="CX7" s="1">
        <v>394.98</v>
      </c>
      <c r="CY7" s="1">
        <v>398.52</v>
      </c>
      <c r="CZ7" s="1">
        <v>401.82</v>
      </c>
      <c r="DA7" s="1">
        <v>404.88</v>
      </c>
      <c r="DB7" s="1">
        <v>407.67</v>
      </c>
      <c r="DC7" s="1">
        <v>410.22</v>
      </c>
      <c r="DD7" s="1">
        <v>412.5</v>
      </c>
    </row>
    <row r="8" spans="1:108" ht="23.4" customHeight="1" x14ac:dyDescent="0.25">
      <c r="A8" s="7" t="s">
        <v>12</v>
      </c>
      <c r="B8" s="27">
        <v>313.51</v>
      </c>
      <c r="C8" s="29">
        <v>323.45999999999998</v>
      </c>
      <c r="D8" s="29">
        <v>332.64</v>
      </c>
      <c r="E8" s="29">
        <v>341.07</v>
      </c>
      <c r="F8" s="27">
        <v>348.79</v>
      </c>
      <c r="G8" s="27">
        <v>355.83</v>
      </c>
      <c r="H8" s="27">
        <v>362.26</v>
      </c>
      <c r="I8" s="30">
        <v>368.13</v>
      </c>
      <c r="J8" s="27">
        <v>373.5</v>
      </c>
      <c r="K8" s="27">
        <v>378.4</v>
      </c>
      <c r="L8" s="27">
        <v>382.88</v>
      </c>
      <c r="M8" s="27">
        <v>386.97</v>
      </c>
      <c r="N8" s="27">
        <v>390.68</v>
      </c>
      <c r="O8" s="27">
        <v>394.05</v>
      </c>
      <c r="P8" s="27">
        <v>397.09</v>
      </c>
      <c r="Q8" s="27">
        <v>399.82</v>
      </c>
      <c r="R8" s="32"/>
      <c r="S8" s="32"/>
      <c r="T8" s="32"/>
      <c r="U8" s="32"/>
      <c r="V8" s="32"/>
      <c r="W8" s="32"/>
      <c r="X8" s="32"/>
      <c r="Y8" s="32"/>
      <c r="Z8" s="9"/>
    </row>
    <row r="9" spans="1:108" ht="31.2" customHeight="1" x14ac:dyDescent="0.25">
      <c r="A9" s="8"/>
      <c r="B9" s="4">
        <v>33</v>
      </c>
      <c r="C9" s="4">
        <v>34</v>
      </c>
      <c r="D9" s="4">
        <v>35</v>
      </c>
      <c r="E9" s="4">
        <v>36</v>
      </c>
      <c r="F9" s="4">
        <v>37</v>
      </c>
      <c r="G9" s="4">
        <v>38</v>
      </c>
      <c r="H9" s="4">
        <v>39</v>
      </c>
      <c r="I9" s="4">
        <v>40</v>
      </c>
      <c r="J9" s="4">
        <v>41</v>
      </c>
      <c r="K9" s="4"/>
      <c r="L9" s="4"/>
      <c r="M9" s="4"/>
      <c r="N9" s="4"/>
      <c r="O9" s="4"/>
      <c r="P9" s="4"/>
      <c r="Q9" s="4"/>
      <c r="R9" s="26"/>
      <c r="S9" s="26"/>
      <c r="T9" s="26"/>
      <c r="U9" s="26"/>
      <c r="V9" s="26"/>
      <c r="W9" s="26"/>
      <c r="X9" s="26"/>
      <c r="Y9" s="26"/>
      <c r="Z9" s="9"/>
    </row>
    <row r="10" spans="1:108" ht="23.4" customHeight="1" x14ac:dyDescent="0.25">
      <c r="A10" s="24" t="s">
        <v>11</v>
      </c>
      <c r="B10" s="27">
        <v>41.6</v>
      </c>
      <c r="C10" s="27">
        <f>B10+1.3</f>
        <v>42.9</v>
      </c>
      <c r="D10" s="27">
        <f t="shared" ref="D10:J10" si="3">C10+1.3</f>
        <v>44.199999999999996</v>
      </c>
      <c r="E10" s="27">
        <f t="shared" si="3"/>
        <v>45.499999999999993</v>
      </c>
      <c r="F10" s="27">
        <f t="shared" si="3"/>
        <v>46.79999999999999</v>
      </c>
      <c r="G10" s="27">
        <f t="shared" si="3"/>
        <v>48.099999999999987</v>
      </c>
      <c r="H10" s="27">
        <f t="shared" si="3"/>
        <v>49.399999999999984</v>
      </c>
      <c r="I10" s="27">
        <f t="shared" si="3"/>
        <v>50.699999999999982</v>
      </c>
      <c r="J10" s="27">
        <f t="shared" si="3"/>
        <v>51.999999999999979</v>
      </c>
      <c r="K10" s="3"/>
      <c r="L10" s="3"/>
      <c r="M10" s="3"/>
      <c r="N10" s="3"/>
      <c r="O10" s="3"/>
      <c r="P10" s="3"/>
      <c r="Q10" s="3"/>
      <c r="R10" s="35"/>
      <c r="S10" s="35"/>
      <c r="Y10" s="35"/>
      <c r="Z10" s="35"/>
      <c r="AA10" s="9"/>
      <c r="AB10" s="12">
        <v>40</v>
      </c>
      <c r="AC10" s="12">
        <v>39</v>
      </c>
      <c r="AD10" s="12">
        <v>38</v>
      </c>
      <c r="AE10" s="12">
        <v>37</v>
      </c>
      <c r="AF10" s="12">
        <v>36</v>
      </c>
      <c r="AG10" s="12">
        <v>35</v>
      </c>
      <c r="AH10" s="12">
        <v>34</v>
      </c>
      <c r="AI10" s="12">
        <v>33</v>
      </c>
      <c r="AJ10" s="12">
        <v>32</v>
      </c>
      <c r="AK10" s="12">
        <v>31</v>
      </c>
      <c r="AL10" s="12">
        <v>30</v>
      </c>
      <c r="AM10" s="12">
        <v>29</v>
      </c>
      <c r="AN10" s="12">
        <v>28</v>
      </c>
      <c r="AO10" s="12">
        <v>27</v>
      </c>
      <c r="AP10" s="12">
        <v>26</v>
      </c>
      <c r="AQ10" s="12">
        <v>25</v>
      </c>
      <c r="AR10" s="12">
        <v>24</v>
      </c>
      <c r="AS10" s="12">
        <v>23</v>
      </c>
      <c r="AT10" s="12">
        <v>22</v>
      </c>
      <c r="AU10" s="12">
        <v>21</v>
      </c>
      <c r="AV10" s="12">
        <v>20</v>
      </c>
      <c r="AW10" s="12">
        <v>19</v>
      </c>
      <c r="AX10" s="12">
        <v>18</v>
      </c>
      <c r="AY10" s="12">
        <v>17</v>
      </c>
      <c r="AZ10" s="12">
        <v>16</v>
      </c>
      <c r="BA10" s="12">
        <v>15</v>
      </c>
      <c r="BB10" s="12">
        <v>14</v>
      </c>
      <c r="BC10" s="12">
        <v>13</v>
      </c>
      <c r="BD10" s="12">
        <v>12</v>
      </c>
      <c r="BE10" s="12">
        <v>11</v>
      </c>
      <c r="BF10" s="12">
        <v>10</v>
      </c>
      <c r="BG10" s="12">
        <v>9</v>
      </c>
      <c r="BH10" s="12">
        <v>8</v>
      </c>
      <c r="BI10" s="12">
        <v>7</v>
      </c>
      <c r="BJ10" s="12">
        <v>6</v>
      </c>
      <c r="BK10" s="12">
        <v>5</v>
      </c>
      <c r="BL10" s="12">
        <v>4</v>
      </c>
      <c r="BM10" s="12">
        <v>3</v>
      </c>
      <c r="BN10" s="12">
        <v>2</v>
      </c>
      <c r="BO10" s="12">
        <v>1</v>
      </c>
    </row>
    <row r="11" spans="1:108" ht="23.4" customHeight="1" x14ac:dyDescent="0.25">
      <c r="A11" s="24" t="s">
        <v>12</v>
      </c>
      <c r="B11" s="27">
        <v>401.39</v>
      </c>
      <c r="C11" s="27">
        <v>402.26</v>
      </c>
      <c r="D11" s="27">
        <v>406.31</v>
      </c>
      <c r="E11" s="27">
        <v>404.62</v>
      </c>
      <c r="F11" s="27">
        <v>409.32</v>
      </c>
      <c r="G11" s="27">
        <v>407.77</v>
      </c>
      <c r="H11" s="27">
        <v>411.34</v>
      </c>
      <c r="I11" s="27">
        <v>412.05</v>
      </c>
      <c r="J11" s="27">
        <v>412.5</v>
      </c>
      <c r="K11" s="4"/>
      <c r="L11" s="4"/>
      <c r="M11" s="4"/>
      <c r="N11" s="4"/>
      <c r="O11" s="4"/>
      <c r="P11" s="4"/>
      <c r="Q11" s="4"/>
      <c r="R11" s="26"/>
      <c r="S11" s="26"/>
      <c r="Y11" s="26"/>
      <c r="Z11" s="26"/>
      <c r="AA11" s="9">
        <v>1</v>
      </c>
      <c r="AB11" s="30">
        <v>51.999999999999979</v>
      </c>
      <c r="AC11" s="30">
        <v>50.699999999999982</v>
      </c>
      <c r="AD11" s="30">
        <v>49.399999999999984</v>
      </c>
      <c r="AE11" s="30">
        <v>48.099999999999987</v>
      </c>
      <c r="AF11" s="30">
        <v>46.79999999999999</v>
      </c>
      <c r="AG11" s="30">
        <v>45.499999999999993</v>
      </c>
      <c r="AH11" s="30">
        <v>44.199999999999996</v>
      </c>
      <c r="AI11" s="30">
        <v>42.9</v>
      </c>
      <c r="AJ11" s="30">
        <v>41.6</v>
      </c>
      <c r="AK11" s="30">
        <v>40.29999999999999</v>
      </c>
      <c r="AL11" s="30">
        <v>38.999999999999993</v>
      </c>
      <c r="AM11" s="30">
        <v>37.699999999999996</v>
      </c>
      <c r="AN11" s="30">
        <v>36.4</v>
      </c>
      <c r="AO11" s="27">
        <v>35.1</v>
      </c>
      <c r="AP11" s="27">
        <v>33.800000000000004</v>
      </c>
      <c r="AQ11" s="30">
        <v>32.500000000000007</v>
      </c>
      <c r="AR11" s="30">
        <v>31.200000000000006</v>
      </c>
      <c r="AS11" s="30">
        <v>29.900000000000006</v>
      </c>
      <c r="AT11" s="30">
        <v>28.600000000000005</v>
      </c>
      <c r="AU11" s="30">
        <v>27.300000000000004</v>
      </c>
      <c r="AV11" s="30">
        <v>26.000000000000004</v>
      </c>
      <c r="AW11" s="30">
        <v>24.700000000000003</v>
      </c>
      <c r="AX11" s="30">
        <v>23.400000000000002</v>
      </c>
      <c r="AY11" s="30">
        <v>22.1</v>
      </c>
      <c r="AZ11" s="30">
        <v>20.8</v>
      </c>
      <c r="BA11" s="30">
        <v>19.500000000000004</v>
      </c>
      <c r="BB11" s="30">
        <v>18.200000000000003</v>
      </c>
      <c r="BC11" s="30">
        <v>16.900000000000002</v>
      </c>
      <c r="BD11" s="30">
        <v>15.600000000000003</v>
      </c>
      <c r="BE11" s="30">
        <v>14.300000000000002</v>
      </c>
      <c r="BF11" s="30">
        <v>13.000000000000002</v>
      </c>
      <c r="BG11" s="30">
        <v>11.700000000000001</v>
      </c>
      <c r="BH11" s="30">
        <v>10.4</v>
      </c>
      <c r="BI11" s="30">
        <v>9.1</v>
      </c>
      <c r="BJ11" s="30">
        <v>7.8</v>
      </c>
      <c r="BK11" s="30">
        <v>6.5</v>
      </c>
      <c r="BL11" s="30">
        <v>5.2</v>
      </c>
      <c r="BM11" s="30">
        <v>3.9000000000000004</v>
      </c>
      <c r="BN11" s="30">
        <v>2.6</v>
      </c>
      <c r="BO11" s="30">
        <v>1.3</v>
      </c>
    </row>
    <row r="12" spans="1:108" ht="23.4" customHeight="1" x14ac:dyDescent="0.25">
      <c r="A12" s="25"/>
      <c r="B12" s="32"/>
      <c r="C12" s="32"/>
      <c r="D12" s="32"/>
      <c r="E12" s="32"/>
      <c r="F12" s="32"/>
      <c r="G12" s="32"/>
      <c r="H12" s="32"/>
      <c r="I12" s="32"/>
      <c r="J12" s="32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9">
        <v>2</v>
      </c>
      <c r="AB12" s="13">
        <v>412.5</v>
      </c>
      <c r="AC12" s="13">
        <v>412.05</v>
      </c>
      <c r="AD12" s="13">
        <v>411.34</v>
      </c>
      <c r="AE12" s="13">
        <v>407.77</v>
      </c>
      <c r="AF12" s="13">
        <v>409.32</v>
      </c>
      <c r="AG12" s="13">
        <v>404.62</v>
      </c>
      <c r="AH12" s="13">
        <v>406.31</v>
      </c>
      <c r="AI12" s="13">
        <v>402.26</v>
      </c>
      <c r="AJ12" s="13">
        <v>401.49</v>
      </c>
      <c r="AK12" s="13">
        <v>399.82</v>
      </c>
      <c r="AL12" s="13">
        <v>397.09</v>
      </c>
      <c r="AM12" s="13">
        <v>394.05</v>
      </c>
      <c r="AN12" s="13">
        <v>390.68</v>
      </c>
      <c r="AO12" s="3">
        <v>386.97</v>
      </c>
      <c r="AP12" s="3">
        <v>382.88</v>
      </c>
      <c r="AQ12" s="13">
        <v>378.4</v>
      </c>
      <c r="AR12" s="13">
        <v>373.5</v>
      </c>
      <c r="AS12" s="13">
        <v>368.13</v>
      </c>
      <c r="AT12" s="13">
        <v>362.26</v>
      </c>
      <c r="AU12" s="13">
        <v>355.83</v>
      </c>
      <c r="AV12" s="13">
        <v>348.79</v>
      </c>
      <c r="AW12" s="13">
        <v>341.07</v>
      </c>
      <c r="AX12" s="13">
        <v>332.64</v>
      </c>
      <c r="AY12" s="13">
        <v>323.45999999999998</v>
      </c>
      <c r="AZ12" s="13">
        <v>313.51</v>
      </c>
      <c r="BA12" s="13">
        <v>302.77</v>
      </c>
      <c r="BB12" s="13">
        <v>291.2</v>
      </c>
      <c r="BC12" s="13">
        <v>278.79000000000002</v>
      </c>
      <c r="BD12" s="13">
        <v>265.52</v>
      </c>
      <c r="BE12" s="13">
        <v>251.37</v>
      </c>
      <c r="BF12" s="13">
        <v>235.33</v>
      </c>
      <c r="BG12" s="13">
        <v>220.46</v>
      </c>
      <c r="BH12" s="13">
        <v>203.71</v>
      </c>
      <c r="BI12" s="13">
        <v>186.13</v>
      </c>
      <c r="BJ12" s="13">
        <v>167.78</v>
      </c>
      <c r="BK12" s="13">
        <v>148.71</v>
      </c>
      <c r="BL12" s="13">
        <v>129.02000000000001</v>
      </c>
      <c r="BM12" s="13">
        <v>108.79</v>
      </c>
      <c r="BN12" s="13">
        <v>88.16</v>
      </c>
      <c r="BO12" s="13">
        <v>67.25</v>
      </c>
    </row>
    <row r="13" spans="1:108" ht="23.4" customHeight="1" x14ac:dyDescent="0.25">
      <c r="A13" s="25"/>
      <c r="B13" s="32"/>
      <c r="C13" s="32"/>
      <c r="D13" s="32"/>
      <c r="E13" s="32"/>
      <c r="F13" s="32"/>
      <c r="G13" s="32"/>
      <c r="H13" s="32"/>
      <c r="I13" s="32"/>
      <c r="J13" s="32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9">
        <v>3</v>
      </c>
      <c r="AB13" s="1">
        <v>412.5</v>
      </c>
      <c r="AC13" s="1">
        <v>407.77</v>
      </c>
      <c r="AD13" s="1">
        <v>404.1</v>
      </c>
      <c r="AE13" s="1">
        <v>399.61</v>
      </c>
      <c r="AF13" s="1">
        <v>394.91</v>
      </c>
      <c r="AG13" s="1">
        <v>390</v>
      </c>
      <c r="AH13" s="1">
        <v>384.87</v>
      </c>
      <c r="AI13" s="1">
        <v>379.51</v>
      </c>
      <c r="AJ13" s="1">
        <v>373.91</v>
      </c>
      <c r="AK13" s="1">
        <v>368.07</v>
      </c>
      <c r="AL13" s="1">
        <v>361.95</v>
      </c>
      <c r="AM13" s="1">
        <v>355.57</v>
      </c>
      <c r="AN13" s="1">
        <v>348.89</v>
      </c>
      <c r="AO13" s="1">
        <v>341.9</v>
      </c>
      <c r="AP13" s="1">
        <v>334.58</v>
      </c>
      <c r="AQ13" s="1">
        <v>326.89999999999998</v>
      </c>
      <c r="AR13" s="1">
        <v>318.85000000000002</v>
      </c>
      <c r="AS13" s="1">
        <v>310.39999999999998</v>
      </c>
      <c r="AT13" s="1">
        <v>301.5</v>
      </c>
      <c r="AU13" s="1">
        <v>292.12</v>
      </c>
      <c r="AV13" s="1">
        <v>282.20999999999998</v>
      </c>
      <c r="AW13" s="1">
        <v>271.73</v>
      </c>
      <c r="AX13" s="1">
        <v>260.64999999999998</v>
      </c>
      <c r="AY13" s="1">
        <v>248.94</v>
      </c>
      <c r="AZ13" s="1">
        <v>236.6</v>
      </c>
      <c r="BA13" s="1">
        <v>223.59</v>
      </c>
      <c r="BB13" s="1">
        <v>209.92</v>
      </c>
      <c r="BC13" s="1">
        <v>195.56</v>
      </c>
      <c r="BD13" s="1">
        <v>180.51</v>
      </c>
      <c r="BE13" s="1">
        <v>164.77</v>
      </c>
      <c r="BF13" s="1">
        <v>148.34</v>
      </c>
      <c r="BG13" s="1">
        <v>131.22999999999999</v>
      </c>
      <c r="BH13" s="1">
        <v>113.47</v>
      </c>
      <c r="BI13" s="1">
        <v>95.09</v>
      </c>
      <c r="BJ13" s="1">
        <v>76.13</v>
      </c>
      <c r="BK13" s="1">
        <v>56.64</v>
      </c>
      <c r="BL13" s="1">
        <v>36.68</v>
      </c>
      <c r="BM13" s="1">
        <v>16.329999999999998</v>
      </c>
      <c r="BN13" s="1">
        <v>-4.33</v>
      </c>
      <c r="BO13" s="1">
        <v>-25.22</v>
      </c>
    </row>
    <row r="14" spans="1:108" ht="23.4" customHeight="1" x14ac:dyDescent="0.25">
      <c r="A14" s="25"/>
      <c r="B14" s="32"/>
      <c r="C14" s="32"/>
      <c r="D14" s="32"/>
      <c r="E14" s="32"/>
      <c r="F14" s="32"/>
      <c r="G14" s="32"/>
      <c r="H14" s="32"/>
      <c r="I14" s="32"/>
      <c r="J14" s="32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9">
        <v>4</v>
      </c>
      <c r="AB14" s="1">
        <v>412.5</v>
      </c>
      <c r="AC14" s="1">
        <v>410.22</v>
      </c>
      <c r="AD14" s="1">
        <v>407.67</v>
      </c>
      <c r="AE14" s="1">
        <v>404.88</v>
      </c>
      <c r="AF14" s="1">
        <v>401.82</v>
      </c>
      <c r="AG14" s="1">
        <v>398.52</v>
      </c>
      <c r="AH14" s="1">
        <v>394.98</v>
      </c>
      <c r="AI14" s="1">
        <v>391.19</v>
      </c>
      <c r="AJ14" s="1">
        <v>387.17</v>
      </c>
      <c r="AK14" s="1">
        <v>382.91</v>
      </c>
      <c r="AL14" s="1">
        <v>378.42</v>
      </c>
      <c r="AM14" s="1">
        <v>373.7</v>
      </c>
      <c r="AN14" s="1">
        <v>368.74</v>
      </c>
      <c r="AO14" s="1">
        <v>363.5</v>
      </c>
      <c r="AP14" s="1">
        <v>357.95</v>
      </c>
      <c r="AQ14" s="1">
        <v>352.05</v>
      </c>
      <c r="AR14" s="1">
        <v>345.75</v>
      </c>
      <c r="AS14" s="1">
        <v>339.01</v>
      </c>
      <c r="AT14" s="1">
        <v>331.77</v>
      </c>
      <c r="AU14" s="1">
        <v>323.95999999999998</v>
      </c>
      <c r="AV14" s="1">
        <v>315.5</v>
      </c>
      <c r="AW14" s="1">
        <v>306.3</v>
      </c>
      <c r="AX14" s="1">
        <v>296.33999999999997</v>
      </c>
      <c r="AY14" s="1">
        <v>285.58999999999997</v>
      </c>
      <c r="AZ14" s="1">
        <v>274.05</v>
      </c>
      <c r="BA14" s="1">
        <v>261.72000000000003</v>
      </c>
      <c r="BB14" s="1">
        <v>248.6</v>
      </c>
      <c r="BC14" s="1">
        <v>234.7</v>
      </c>
      <c r="BD14" s="1">
        <v>220.07</v>
      </c>
      <c r="BE14" s="1">
        <v>204.73</v>
      </c>
      <c r="BF14" s="1">
        <v>188.74</v>
      </c>
      <c r="BG14" s="1">
        <v>172.18</v>
      </c>
      <c r="BH14" s="1">
        <v>155.13999999999999</v>
      </c>
      <c r="BI14" s="1">
        <v>137.74</v>
      </c>
      <c r="BJ14" s="1">
        <v>119.99</v>
      </c>
      <c r="BK14" s="1">
        <v>101.81</v>
      </c>
      <c r="BL14" s="1">
        <v>83.11</v>
      </c>
      <c r="BM14" s="1">
        <v>63.74</v>
      </c>
      <c r="BN14" s="1">
        <v>43.57</v>
      </c>
      <c r="BO14" s="1">
        <v>22.41</v>
      </c>
    </row>
    <row r="15" spans="1:108" ht="23.4" customHeight="1" x14ac:dyDescent="0.25">
      <c r="A15" s="25"/>
      <c r="B15" s="32"/>
      <c r="C15" s="32"/>
      <c r="D15" s="32"/>
      <c r="E15" s="32"/>
      <c r="F15" s="32"/>
      <c r="G15" s="32"/>
      <c r="H15" s="32"/>
      <c r="I15" s="32"/>
      <c r="J15" s="32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9"/>
    </row>
    <row r="16" spans="1:108" ht="23.4" customHeight="1" x14ac:dyDescent="0.25">
      <c r="A16" s="25"/>
      <c r="B16" s="32"/>
      <c r="C16" s="32"/>
      <c r="D16" s="32"/>
      <c r="E16" s="32"/>
      <c r="F16" s="32"/>
      <c r="G16" s="32"/>
      <c r="H16" s="32"/>
      <c r="I16" s="32"/>
      <c r="J16" s="32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9"/>
      <c r="AB16" s="9">
        <f>AB11*(-1)</f>
        <v>-51.999999999999979</v>
      </c>
      <c r="AC16" s="9">
        <f>AC11*(-1)</f>
        <v>-50.699999999999982</v>
      </c>
      <c r="AD16" s="9">
        <f t="shared" ref="AD16:BO16" si="4">AD11*(-1)</f>
        <v>-49.399999999999984</v>
      </c>
      <c r="AE16" s="9">
        <f t="shared" si="4"/>
        <v>-48.099999999999987</v>
      </c>
      <c r="AF16" s="9">
        <f t="shared" si="4"/>
        <v>-46.79999999999999</v>
      </c>
      <c r="AG16" s="9">
        <f t="shared" si="4"/>
        <v>-45.499999999999993</v>
      </c>
      <c r="AH16" s="9">
        <f t="shared" si="4"/>
        <v>-44.199999999999996</v>
      </c>
      <c r="AI16" s="9">
        <f t="shared" si="4"/>
        <v>-42.9</v>
      </c>
      <c r="AJ16" s="9">
        <f t="shared" si="4"/>
        <v>-41.6</v>
      </c>
      <c r="AK16" s="9">
        <f t="shared" si="4"/>
        <v>-40.29999999999999</v>
      </c>
      <c r="AL16" s="9">
        <f t="shared" si="4"/>
        <v>-38.999999999999993</v>
      </c>
      <c r="AM16" s="9">
        <f t="shared" si="4"/>
        <v>-37.699999999999996</v>
      </c>
      <c r="AN16" s="9">
        <f t="shared" si="4"/>
        <v>-36.4</v>
      </c>
      <c r="AO16" s="9">
        <f t="shared" si="4"/>
        <v>-35.1</v>
      </c>
      <c r="AP16" s="9">
        <f t="shared" si="4"/>
        <v>-33.800000000000004</v>
      </c>
      <c r="AQ16" s="9">
        <f t="shared" si="4"/>
        <v>-32.500000000000007</v>
      </c>
      <c r="AR16" s="9">
        <f t="shared" si="4"/>
        <v>-31.200000000000006</v>
      </c>
      <c r="AS16" s="9">
        <f t="shared" si="4"/>
        <v>-29.900000000000006</v>
      </c>
      <c r="AT16" s="9">
        <f t="shared" si="4"/>
        <v>-28.600000000000005</v>
      </c>
      <c r="AU16" s="9">
        <f t="shared" si="4"/>
        <v>-27.300000000000004</v>
      </c>
      <c r="AV16" s="9">
        <f t="shared" si="4"/>
        <v>-26.000000000000004</v>
      </c>
      <c r="AW16" s="9">
        <f t="shared" si="4"/>
        <v>-24.700000000000003</v>
      </c>
      <c r="AX16" s="9">
        <f t="shared" si="4"/>
        <v>-23.400000000000002</v>
      </c>
      <c r="AY16" s="9">
        <f t="shared" si="4"/>
        <v>-22.1</v>
      </c>
      <c r="AZ16" s="9">
        <f t="shared" si="4"/>
        <v>-20.8</v>
      </c>
      <c r="BA16" s="9">
        <f t="shared" si="4"/>
        <v>-19.500000000000004</v>
      </c>
      <c r="BB16" s="9">
        <f t="shared" si="4"/>
        <v>-18.200000000000003</v>
      </c>
      <c r="BC16" s="9">
        <f t="shared" si="4"/>
        <v>-16.900000000000002</v>
      </c>
      <c r="BD16" s="9">
        <f t="shared" si="4"/>
        <v>-15.600000000000003</v>
      </c>
      <c r="BE16" s="9">
        <f t="shared" si="4"/>
        <v>-14.300000000000002</v>
      </c>
      <c r="BF16" s="9">
        <f t="shared" si="4"/>
        <v>-13.000000000000002</v>
      </c>
      <c r="BG16" s="9">
        <f t="shared" si="4"/>
        <v>-11.700000000000001</v>
      </c>
      <c r="BH16" s="9">
        <f t="shared" si="4"/>
        <v>-10.4</v>
      </c>
      <c r="BI16" s="9">
        <f t="shared" si="4"/>
        <v>-9.1</v>
      </c>
      <c r="BJ16" s="9">
        <f t="shared" si="4"/>
        <v>-7.8</v>
      </c>
      <c r="BK16" s="9">
        <f t="shared" si="4"/>
        <v>-6.5</v>
      </c>
      <c r="BL16" s="9">
        <f t="shared" si="4"/>
        <v>-5.2</v>
      </c>
      <c r="BM16" s="9">
        <f t="shared" si="4"/>
        <v>-3.9000000000000004</v>
      </c>
      <c r="BN16" s="9">
        <f t="shared" si="4"/>
        <v>-2.6</v>
      </c>
      <c r="BO16" s="9">
        <f t="shared" si="4"/>
        <v>-1.3</v>
      </c>
    </row>
    <row r="17" spans="1:108" ht="23.4" customHeight="1" x14ac:dyDescent="0.25">
      <c r="A17" s="25"/>
      <c r="B17" s="32"/>
      <c r="C17" s="32"/>
      <c r="D17" s="32"/>
      <c r="E17" s="32"/>
      <c r="F17" s="32"/>
      <c r="G17" s="32"/>
      <c r="H17" s="32"/>
      <c r="I17" s="32"/>
      <c r="J17" s="32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9"/>
      <c r="AB17" s="9">
        <f t="shared" ref="AB17:AC19" si="5">AB12*(-1)</f>
        <v>-412.5</v>
      </c>
      <c r="AC17" s="9">
        <f t="shared" si="5"/>
        <v>-412.05</v>
      </c>
      <c r="AD17" s="9">
        <f t="shared" ref="AD17:BO17" si="6">AD12*(-1)</f>
        <v>-411.34</v>
      </c>
      <c r="AE17" s="9">
        <f t="shared" si="6"/>
        <v>-407.77</v>
      </c>
      <c r="AF17" s="9">
        <f t="shared" si="6"/>
        <v>-409.32</v>
      </c>
      <c r="AG17" s="9">
        <f t="shared" si="6"/>
        <v>-404.62</v>
      </c>
      <c r="AH17" s="9">
        <f t="shared" si="6"/>
        <v>-406.31</v>
      </c>
      <c r="AI17" s="9">
        <f t="shared" si="6"/>
        <v>-402.26</v>
      </c>
      <c r="AJ17" s="9">
        <f t="shared" si="6"/>
        <v>-401.49</v>
      </c>
      <c r="AK17" s="9">
        <f t="shared" si="6"/>
        <v>-399.82</v>
      </c>
      <c r="AL17" s="9">
        <f t="shared" si="6"/>
        <v>-397.09</v>
      </c>
      <c r="AM17" s="9">
        <f t="shared" si="6"/>
        <v>-394.05</v>
      </c>
      <c r="AN17" s="9">
        <f t="shared" si="6"/>
        <v>-390.68</v>
      </c>
      <c r="AO17" s="9">
        <f t="shared" si="6"/>
        <v>-386.97</v>
      </c>
      <c r="AP17" s="9">
        <f t="shared" si="6"/>
        <v>-382.88</v>
      </c>
      <c r="AQ17" s="9">
        <f t="shared" si="6"/>
        <v>-378.4</v>
      </c>
      <c r="AR17" s="9">
        <f t="shared" si="6"/>
        <v>-373.5</v>
      </c>
      <c r="AS17" s="9">
        <f t="shared" si="6"/>
        <v>-368.13</v>
      </c>
      <c r="AT17" s="9">
        <f t="shared" si="6"/>
        <v>-362.26</v>
      </c>
      <c r="AU17" s="9">
        <f t="shared" si="6"/>
        <v>-355.83</v>
      </c>
      <c r="AV17" s="9">
        <f t="shared" si="6"/>
        <v>-348.79</v>
      </c>
      <c r="AW17" s="9">
        <f t="shared" si="6"/>
        <v>-341.07</v>
      </c>
      <c r="AX17" s="9">
        <f t="shared" si="6"/>
        <v>-332.64</v>
      </c>
      <c r="AY17" s="9">
        <f t="shared" si="6"/>
        <v>-323.45999999999998</v>
      </c>
      <c r="AZ17" s="9">
        <f t="shared" si="6"/>
        <v>-313.51</v>
      </c>
      <c r="BA17" s="9">
        <f t="shared" si="6"/>
        <v>-302.77</v>
      </c>
      <c r="BB17" s="9">
        <f t="shared" si="6"/>
        <v>-291.2</v>
      </c>
      <c r="BC17" s="9">
        <f t="shared" si="6"/>
        <v>-278.79000000000002</v>
      </c>
      <c r="BD17" s="9">
        <f t="shared" si="6"/>
        <v>-265.52</v>
      </c>
      <c r="BE17" s="9">
        <f t="shared" si="6"/>
        <v>-251.37</v>
      </c>
      <c r="BF17" s="9">
        <f t="shared" si="6"/>
        <v>-235.33</v>
      </c>
      <c r="BG17" s="9">
        <f t="shared" si="6"/>
        <v>-220.46</v>
      </c>
      <c r="BH17" s="9">
        <f t="shared" si="6"/>
        <v>-203.71</v>
      </c>
      <c r="BI17" s="9">
        <f t="shared" si="6"/>
        <v>-186.13</v>
      </c>
      <c r="BJ17" s="9">
        <f t="shared" si="6"/>
        <v>-167.78</v>
      </c>
      <c r="BK17" s="9">
        <f t="shared" si="6"/>
        <v>-148.71</v>
      </c>
      <c r="BL17" s="9">
        <f t="shared" si="6"/>
        <v>-129.02000000000001</v>
      </c>
      <c r="BM17" s="9">
        <f t="shared" si="6"/>
        <v>-108.79</v>
      </c>
      <c r="BN17" s="9">
        <f t="shared" si="6"/>
        <v>-88.16</v>
      </c>
      <c r="BO17" s="9">
        <f t="shared" si="6"/>
        <v>-67.25</v>
      </c>
    </row>
    <row r="18" spans="1:108" ht="19.8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26"/>
      <c r="U18" s="26"/>
      <c r="V18" s="26"/>
      <c r="W18" s="26"/>
      <c r="X18" s="31"/>
      <c r="Y18" s="31"/>
      <c r="AB18" s="9">
        <f t="shared" si="5"/>
        <v>-412.5</v>
      </c>
      <c r="AC18" s="9">
        <f t="shared" si="5"/>
        <v>-407.77</v>
      </c>
      <c r="AD18" s="9">
        <f t="shared" ref="AD18:BO18" si="7">AD13*(-1)</f>
        <v>-404.1</v>
      </c>
      <c r="AE18" s="9">
        <f t="shared" si="7"/>
        <v>-399.61</v>
      </c>
      <c r="AF18" s="9">
        <f t="shared" si="7"/>
        <v>-394.91</v>
      </c>
      <c r="AG18" s="9">
        <f t="shared" si="7"/>
        <v>-390</v>
      </c>
      <c r="AH18" s="9">
        <f t="shared" si="7"/>
        <v>-384.87</v>
      </c>
      <c r="AI18" s="9">
        <f t="shared" si="7"/>
        <v>-379.51</v>
      </c>
      <c r="AJ18" s="9">
        <f t="shared" si="7"/>
        <v>-373.91</v>
      </c>
      <c r="AK18" s="9">
        <f t="shared" si="7"/>
        <v>-368.07</v>
      </c>
      <c r="AL18" s="9">
        <f t="shared" si="7"/>
        <v>-361.95</v>
      </c>
      <c r="AM18" s="9">
        <f t="shared" si="7"/>
        <v>-355.57</v>
      </c>
      <c r="AN18" s="9">
        <f t="shared" si="7"/>
        <v>-348.89</v>
      </c>
      <c r="AO18" s="9">
        <f t="shared" si="7"/>
        <v>-341.9</v>
      </c>
      <c r="AP18" s="9">
        <f t="shared" si="7"/>
        <v>-334.58</v>
      </c>
      <c r="AQ18" s="9">
        <f t="shared" si="7"/>
        <v>-326.89999999999998</v>
      </c>
      <c r="AR18" s="9">
        <f t="shared" si="7"/>
        <v>-318.85000000000002</v>
      </c>
      <c r="AS18" s="9">
        <f t="shared" si="7"/>
        <v>-310.39999999999998</v>
      </c>
      <c r="AT18" s="9">
        <f t="shared" si="7"/>
        <v>-301.5</v>
      </c>
      <c r="AU18" s="9">
        <f t="shared" si="7"/>
        <v>-292.12</v>
      </c>
      <c r="AV18" s="9">
        <f t="shared" si="7"/>
        <v>-282.20999999999998</v>
      </c>
      <c r="AW18" s="9">
        <f t="shared" si="7"/>
        <v>-271.73</v>
      </c>
      <c r="AX18" s="9">
        <f t="shared" si="7"/>
        <v>-260.64999999999998</v>
      </c>
      <c r="AY18" s="9">
        <f t="shared" si="7"/>
        <v>-248.94</v>
      </c>
      <c r="AZ18" s="9">
        <f t="shared" si="7"/>
        <v>-236.6</v>
      </c>
      <c r="BA18" s="9">
        <f t="shared" si="7"/>
        <v>-223.59</v>
      </c>
      <c r="BB18" s="9">
        <f t="shared" si="7"/>
        <v>-209.92</v>
      </c>
      <c r="BC18" s="9">
        <f t="shared" si="7"/>
        <v>-195.56</v>
      </c>
      <c r="BD18" s="9">
        <f t="shared" si="7"/>
        <v>-180.51</v>
      </c>
      <c r="BE18" s="9">
        <f t="shared" si="7"/>
        <v>-164.77</v>
      </c>
      <c r="BF18" s="9">
        <f t="shared" si="7"/>
        <v>-148.34</v>
      </c>
      <c r="BG18" s="9">
        <f t="shared" si="7"/>
        <v>-131.22999999999999</v>
      </c>
      <c r="BH18" s="9">
        <f t="shared" si="7"/>
        <v>-113.47</v>
      </c>
      <c r="BI18" s="9">
        <f t="shared" si="7"/>
        <v>-95.09</v>
      </c>
      <c r="BJ18" s="9">
        <f t="shared" si="7"/>
        <v>-76.13</v>
      </c>
      <c r="BK18" s="9">
        <f t="shared" si="7"/>
        <v>-56.64</v>
      </c>
      <c r="BL18" s="9">
        <f t="shared" si="7"/>
        <v>-36.68</v>
      </c>
      <c r="BM18" s="9">
        <f t="shared" si="7"/>
        <v>-16.329999999999998</v>
      </c>
      <c r="BN18" s="9">
        <f t="shared" si="7"/>
        <v>4.33</v>
      </c>
      <c r="BO18" s="9">
        <f t="shared" si="7"/>
        <v>25.22</v>
      </c>
    </row>
    <row r="19" spans="1:108" ht="33.6" customHeight="1" x14ac:dyDescent="0.25">
      <c r="A19" s="8"/>
      <c r="B19" s="4">
        <v>1</v>
      </c>
      <c r="C19" s="4">
        <v>2</v>
      </c>
      <c r="D19" s="4">
        <v>3</v>
      </c>
      <c r="E19" s="4">
        <v>4</v>
      </c>
      <c r="F19" s="4">
        <v>5</v>
      </c>
      <c r="G19" s="4">
        <v>6</v>
      </c>
      <c r="H19" s="4">
        <v>7</v>
      </c>
      <c r="I19" s="4">
        <v>8</v>
      </c>
      <c r="J19" s="4">
        <v>9</v>
      </c>
      <c r="K19" s="4">
        <v>10</v>
      </c>
      <c r="L19" s="4">
        <v>11</v>
      </c>
      <c r="M19" s="4">
        <v>12</v>
      </c>
      <c r="N19" s="4">
        <v>13</v>
      </c>
      <c r="O19" s="4">
        <v>14</v>
      </c>
      <c r="P19" s="4">
        <v>15</v>
      </c>
      <c r="Q19" s="4">
        <v>16</v>
      </c>
      <c r="R19" s="26"/>
      <c r="S19" s="26"/>
      <c r="T19" s="26"/>
      <c r="U19" s="26"/>
      <c r="V19" s="26"/>
      <c r="W19" s="26"/>
      <c r="X19" s="26"/>
      <c r="Y19" s="26"/>
      <c r="AB19" s="9">
        <f t="shared" si="5"/>
        <v>-412.5</v>
      </c>
      <c r="AC19" s="9">
        <f t="shared" si="5"/>
        <v>-410.22</v>
      </c>
      <c r="AD19" s="9">
        <f t="shared" ref="AD19:BO19" si="8">AD14*(-1)</f>
        <v>-407.67</v>
      </c>
      <c r="AE19" s="9">
        <f t="shared" si="8"/>
        <v>-404.88</v>
      </c>
      <c r="AF19" s="9">
        <f t="shared" si="8"/>
        <v>-401.82</v>
      </c>
      <c r="AG19" s="9">
        <f t="shared" si="8"/>
        <v>-398.52</v>
      </c>
      <c r="AH19" s="9">
        <f t="shared" si="8"/>
        <v>-394.98</v>
      </c>
      <c r="AI19" s="9">
        <f t="shared" si="8"/>
        <v>-391.19</v>
      </c>
      <c r="AJ19" s="9">
        <f t="shared" si="8"/>
        <v>-387.17</v>
      </c>
      <c r="AK19" s="9">
        <f t="shared" si="8"/>
        <v>-382.91</v>
      </c>
      <c r="AL19" s="9">
        <f t="shared" si="8"/>
        <v>-378.42</v>
      </c>
      <c r="AM19" s="9">
        <f t="shared" si="8"/>
        <v>-373.7</v>
      </c>
      <c r="AN19" s="9">
        <f t="shared" si="8"/>
        <v>-368.74</v>
      </c>
      <c r="AO19" s="9">
        <f t="shared" si="8"/>
        <v>-363.5</v>
      </c>
      <c r="AP19" s="9">
        <f t="shared" si="8"/>
        <v>-357.95</v>
      </c>
      <c r="AQ19" s="9">
        <f t="shared" si="8"/>
        <v>-352.05</v>
      </c>
      <c r="AR19" s="9">
        <f t="shared" si="8"/>
        <v>-345.75</v>
      </c>
      <c r="AS19" s="9">
        <f t="shared" si="8"/>
        <v>-339.01</v>
      </c>
      <c r="AT19" s="9">
        <f t="shared" si="8"/>
        <v>-331.77</v>
      </c>
      <c r="AU19" s="9">
        <f t="shared" si="8"/>
        <v>-323.95999999999998</v>
      </c>
      <c r="AV19" s="9">
        <f t="shared" si="8"/>
        <v>-315.5</v>
      </c>
      <c r="AW19" s="9">
        <f t="shared" si="8"/>
        <v>-306.3</v>
      </c>
      <c r="AX19" s="9">
        <f t="shared" si="8"/>
        <v>-296.33999999999997</v>
      </c>
      <c r="AY19" s="9">
        <f t="shared" si="8"/>
        <v>-285.58999999999997</v>
      </c>
      <c r="AZ19" s="9">
        <f t="shared" si="8"/>
        <v>-274.05</v>
      </c>
      <c r="BA19" s="9">
        <f t="shared" si="8"/>
        <v>-261.72000000000003</v>
      </c>
      <c r="BB19" s="9">
        <f t="shared" si="8"/>
        <v>-248.6</v>
      </c>
      <c r="BC19" s="9">
        <f t="shared" si="8"/>
        <v>-234.7</v>
      </c>
      <c r="BD19" s="9">
        <f t="shared" si="8"/>
        <v>-220.07</v>
      </c>
      <c r="BE19" s="9">
        <f t="shared" si="8"/>
        <v>-204.73</v>
      </c>
      <c r="BF19" s="9">
        <f t="shared" si="8"/>
        <v>-188.74</v>
      </c>
      <c r="BG19" s="9">
        <f t="shared" si="8"/>
        <v>-172.18</v>
      </c>
      <c r="BH19" s="9">
        <f t="shared" si="8"/>
        <v>-155.13999999999999</v>
      </c>
      <c r="BI19" s="9">
        <f t="shared" si="8"/>
        <v>-137.74</v>
      </c>
      <c r="BJ19" s="9">
        <f t="shared" si="8"/>
        <v>-119.99</v>
      </c>
      <c r="BK19" s="9">
        <f t="shared" si="8"/>
        <v>-101.81</v>
      </c>
      <c r="BL19" s="9">
        <f t="shared" si="8"/>
        <v>-83.11</v>
      </c>
      <c r="BM19" s="9">
        <f t="shared" si="8"/>
        <v>-63.74</v>
      </c>
      <c r="BN19" s="9">
        <f t="shared" si="8"/>
        <v>-43.57</v>
      </c>
      <c r="BO19" s="9">
        <f t="shared" si="8"/>
        <v>-22.41</v>
      </c>
    </row>
    <row r="20" spans="1:108" ht="23.4" customHeight="1" x14ac:dyDescent="0.25">
      <c r="A20" s="7" t="s">
        <v>11</v>
      </c>
      <c r="B20" s="3">
        <v>49.92</v>
      </c>
      <c r="C20" s="3">
        <f>B20+0.1386666667</f>
        <v>50.058666666699999</v>
      </c>
      <c r="D20" s="3">
        <f t="shared" ref="D20:Q20" si="9">C20+0.1386666667</f>
        <v>50.197333333399996</v>
      </c>
      <c r="E20" s="3">
        <f t="shared" si="9"/>
        <v>50.336000000099993</v>
      </c>
      <c r="F20" s="3">
        <f t="shared" si="9"/>
        <v>50.47466666679999</v>
      </c>
      <c r="G20" s="3">
        <f t="shared" si="9"/>
        <v>50.613333333499988</v>
      </c>
      <c r="H20" s="3">
        <f t="shared" si="9"/>
        <v>50.752000000199985</v>
      </c>
      <c r="I20" s="3">
        <f t="shared" si="9"/>
        <v>50.890666666899982</v>
      </c>
      <c r="J20" s="3">
        <f t="shared" si="9"/>
        <v>51.029333333599979</v>
      </c>
      <c r="K20" s="3">
        <f t="shared" si="9"/>
        <v>51.168000000299976</v>
      </c>
      <c r="L20" s="3">
        <f t="shared" si="9"/>
        <v>51.306666666999973</v>
      </c>
      <c r="M20" s="3">
        <f t="shared" si="9"/>
        <v>51.445333333699971</v>
      </c>
      <c r="N20" s="3">
        <f t="shared" si="9"/>
        <v>51.584000000399968</v>
      </c>
      <c r="O20" s="3">
        <f t="shared" si="9"/>
        <v>51.722666667099965</v>
      </c>
      <c r="P20" s="3">
        <f t="shared" si="9"/>
        <v>51.861333333799962</v>
      </c>
      <c r="Q20" s="3">
        <f t="shared" si="9"/>
        <v>52.000000000499959</v>
      </c>
      <c r="R20" s="35"/>
      <c r="S20" s="35"/>
      <c r="T20" s="26"/>
      <c r="U20" s="26"/>
      <c r="V20" s="26"/>
      <c r="W20" s="26"/>
      <c r="X20" s="35"/>
      <c r="Y20" s="35"/>
    </row>
    <row r="21" spans="1:108" ht="25.8" customHeight="1" x14ac:dyDescent="0.25">
      <c r="A21" s="7" t="s">
        <v>12</v>
      </c>
      <c r="B21" s="4">
        <f>B20/0.126051556</f>
        <v>396.02843141420641</v>
      </c>
      <c r="C21" s="4">
        <f>C20/0.126051556</f>
        <v>397.12851039062139</v>
      </c>
      <c r="D21" s="4">
        <f t="shared" ref="D21" si="10">D20/0.126051556</f>
        <v>398.22858936703642</v>
      </c>
      <c r="E21" s="4">
        <f t="shared" ref="E21" si="11">E20/0.126051556</f>
        <v>399.3286683434514</v>
      </c>
      <c r="F21" s="4">
        <f t="shared" ref="F21" si="12">F20/0.126051556</f>
        <v>400.42874731986637</v>
      </c>
      <c r="G21" s="4">
        <f t="shared" ref="G21" si="13">G20/0.126051556</f>
        <v>401.52882629628135</v>
      </c>
      <c r="H21" s="4">
        <f t="shared" ref="H21" si="14">H20/0.126051556</f>
        <v>402.62890527269639</v>
      </c>
      <c r="I21" s="4">
        <f t="shared" ref="I21" si="15">I20/0.126051556</f>
        <v>403.72898424911136</v>
      </c>
      <c r="J21" s="4">
        <f t="shared" ref="J21" si="16">J20/0.126051556</f>
        <v>404.82906322552634</v>
      </c>
      <c r="K21" s="4">
        <f t="shared" ref="K21" si="17">K20/0.126051556</f>
        <v>405.92914220194132</v>
      </c>
      <c r="L21" s="4">
        <f t="shared" ref="L21" si="18">L20/0.126051556</f>
        <v>407.02922117835635</v>
      </c>
      <c r="M21" s="4">
        <f t="shared" ref="M21" si="19">M20/0.126051556</f>
        <v>408.12930015477133</v>
      </c>
      <c r="N21" s="4">
        <f t="shared" ref="N21" si="20">N20/0.126051556</f>
        <v>409.22937913118631</v>
      </c>
      <c r="O21" s="4">
        <f t="shared" ref="O21" si="21">O20/0.126051556</f>
        <v>410.32945810760134</v>
      </c>
      <c r="P21" s="4">
        <f t="shared" ref="P21" si="22">P20/0.126051556</f>
        <v>411.42953708401632</v>
      </c>
      <c r="Q21" s="4">
        <f t="shared" ref="Q21" si="23">Q20/0.126051556</f>
        <v>412.52961606043129</v>
      </c>
      <c r="R21" s="26"/>
      <c r="S21" s="26"/>
      <c r="T21" s="26"/>
      <c r="U21" s="26"/>
      <c r="V21" s="26"/>
      <c r="W21" s="26"/>
      <c r="X21" s="26"/>
      <c r="Y21" s="26"/>
      <c r="AB21" s="40">
        <v>-51.999999999999979</v>
      </c>
      <c r="AC21" s="40">
        <v>-50.699999999999982</v>
      </c>
      <c r="AD21" s="40">
        <v>-49.399999999999984</v>
      </c>
      <c r="AE21" s="40">
        <v>-48.099999999999987</v>
      </c>
      <c r="AF21" s="40">
        <v>-46.79999999999999</v>
      </c>
      <c r="AG21" s="40">
        <v>-45.499999999999993</v>
      </c>
      <c r="AH21" s="40">
        <v>-44.199999999999996</v>
      </c>
      <c r="AI21" s="40">
        <v>-42.9</v>
      </c>
      <c r="AJ21" s="40">
        <v>-41.6</v>
      </c>
      <c r="AK21" s="40">
        <v>-40.29999999999999</v>
      </c>
      <c r="AL21" s="40">
        <v>-38.999999999999993</v>
      </c>
      <c r="AM21" s="40">
        <v>-37.699999999999996</v>
      </c>
      <c r="AN21" s="40">
        <v>-36.4</v>
      </c>
      <c r="AO21" s="40">
        <v>-35.1</v>
      </c>
      <c r="AP21" s="40">
        <v>-33.800000000000004</v>
      </c>
      <c r="AQ21" s="40">
        <v>-32.500000000000007</v>
      </c>
      <c r="AR21" s="40">
        <v>-31.200000000000006</v>
      </c>
      <c r="AS21" s="40">
        <v>-29.900000000000006</v>
      </c>
      <c r="AT21" s="40">
        <v>-28.600000000000005</v>
      </c>
      <c r="AU21" s="40">
        <v>-27.300000000000004</v>
      </c>
      <c r="AV21" s="40">
        <v>-26.000000000000004</v>
      </c>
      <c r="AW21" s="40">
        <v>-24.700000000000003</v>
      </c>
      <c r="AX21" s="40">
        <v>-23.400000000000002</v>
      </c>
      <c r="AY21" s="40">
        <v>-22.1</v>
      </c>
      <c r="AZ21" s="40">
        <v>-20.8</v>
      </c>
      <c r="BA21" s="40">
        <v>-19.500000000000004</v>
      </c>
      <c r="BB21" s="40">
        <v>-18.200000000000003</v>
      </c>
      <c r="BC21" s="40">
        <v>-16.900000000000002</v>
      </c>
      <c r="BD21" s="40">
        <v>-15.600000000000003</v>
      </c>
      <c r="BE21" s="40">
        <v>-14.300000000000002</v>
      </c>
      <c r="BF21" s="40">
        <v>-13.000000000000002</v>
      </c>
      <c r="BG21" s="40">
        <v>-11.700000000000001</v>
      </c>
      <c r="BH21" s="40">
        <v>-10.4</v>
      </c>
      <c r="BI21" s="40">
        <v>-9.1</v>
      </c>
      <c r="BJ21" s="40">
        <v>-7.8</v>
      </c>
      <c r="BK21" s="40">
        <v>-6.5</v>
      </c>
      <c r="BL21" s="40">
        <v>-5.2</v>
      </c>
      <c r="BM21" s="40">
        <v>-3.9000000000000004</v>
      </c>
      <c r="BN21" s="40">
        <v>-2.6</v>
      </c>
      <c r="BO21" s="40">
        <v>-1.3</v>
      </c>
      <c r="BP21" s="41">
        <v>0</v>
      </c>
      <c r="BQ21" s="41">
        <v>1.3</v>
      </c>
      <c r="BR21" s="41">
        <v>2.6</v>
      </c>
      <c r="BS21" s="41">
        <v>3.9000000000000004</v>
      </c>
      <c r="BT21" s="41">
        <v>5.2</v>
      </c>
      <c r="BU21" s="41">
        <v>6.5</v>
      </c>
      <c r="BV21" s="41">
        <v>7.8</v>
      </c>
      <c r="BW21" s="41">
        <v>9.1</v>
      </c>
      <c r="BX21" s="41">
        <v>10.4</v>
      </c>
      <c r="BY21" s="41">
        <v>11.700000000000001</v>
      </c>
      <c r="BZ21" s="41">
        <v>13.000000000000002</v>
      </c>
      <c r="CA21" s="41">
        <v>14.300000000000002</v>
      </c>
      <c r="CB21" s="41">
        <v>15.600000000000003</v>
      </c>
      <c r="CC21" s="41">
        <v>16.900000000000002</v>
      </c>
      <c r="CD21" s="41">
        <v>18.200000000000003</v>
      </c>
      <c r="CE21" s="41">
        <v>19.500000000000004</v>
      </c>
      <c r="CF21" s="41">
        <v>20.800000000000004</v>
      </c>
      <c r="CG21" s="41">
        <v>22.100000000000005</v>
      </c>
      <c r="CH21" s="41">
        <v>23.400000000000006</v>
      </c>
      <c r="CI21" s="41">
        <v>24.700000000000006</v>
      </c>
      <c r="CJ21" s="41">
        <v>26.000000000000007</v>
      </c>
      <c r="CK21" s="41">
        <v>27.300000000000008</v>
      </c>
      <c r="CL21" s="41">
        <v>28.600000000000009</v>
      </c>
      <c r="CM21" s="41">
        <v>29.900000000000009</v>
      </c>
      <c r="CN21" s="41">
        <v>31.20000000000001</v>
      </c>
      <c r="CO21" s="41">
        <v>32.500000000000007</v>
      </c>
      <c r="CP21" s="41">
        <v>33.800000000000004</v>
      </c>
      <c r="CQ21" s="41">
        <v>35.1</v>
      </c>
      <c r="CR21" s="41">
        <v>36.4</v>
      </c>
      <c r="CS21" s="41">
        <v>37.699999999999996</v>
      </c>
      <c r="CT21" s="41">
        <v>38.999999999999993</v>
      </c>
      <c r="CU21" s="41">
        <v>40.29999999999999</v>
      </c>
      <c r="CV21" s="41">
        <v>41.599999999999987</v>
      </c>
      <c r="CW21" s="41">
        <v>42.899999999999984</v>
      </c>
      <c r="CX21" s="41">
        <v>44.199999999999982</v>
      </c>
      <c r="CY21" s="41">
        <v>45.499999999999979</v>
      </c>
      <c r="CZ21" s="41">
        <v>46.799999999999976</v>
      </c>
      <c r="DA21" s="41">
        <v>48.099999999999973</v>
      </c>
      <c r="DB21" s="41">
        <v>49.39999999999997</v>
      </c>
      <c r="DC21" s="41">
        <v>50.699999999999967</v>
      </c>
      <c r="DD21" s="41">
        <v>51.999999999999964</v>
      </c>
    </row>
    <row r="22" spans="1:108" ht="25.8" customHeight="1" x14ac:dyDescent="0.25">
      <c r="T22" s="26"/>
      <c r="U22" s="26"/>
      <c r="V22" s="26"/>
      <c r="W22" s="26"/>
      <c r="AB22" s="39">
        <v>-412.5</v>
      </c>
      <c r="AC22" s="39">
        <v>-412.05</v>
      </c>
      <c r="AD22" s="39">
        <v>-411.34</v>
      </c>
      <c r="AE22" s="39">
        <v>-407.77</v>
      </c>
      <c r="AF22" s="39">
        <v>-409.32</v>
      </c>
      <c r="AG22" s="39">
        <v>-404.62</v>
      </c>
      <c r="AH22" s="39">
        <v>-406.31</v>
      </c>
      <c r="AI22" s="39">
        <v>-402.26</v>
      </c>
      <c r="AJ22" s="39">
        <v>-401.49</v>
      </c>
      <c r="AK22" s="39">
        <v>-399.82</v>
      </c>
      <c r="AL22" s="39">
        <v>-397.09</v>
      </c>
      <c r="AM22" s="39">
        <v>-394.05</v>
      </c>
      <c r="AN22" s="39">
        <v>-390.68</v>
      </c>
      <c r="AO22" s="39">
        <v>-386.97</v>
      </c>
      <c r="AP22" s="39">
        <v>-382.88</v>
      </c>
      <c r="AQ22" s="39">
        <v>-378.4</v>
      </c>
      <c r="AR22" s="39">
        <v>-373.5</v>
      </c>
      <c r="AS22" s="39">
        <v>-368.13</v>
      </c>
      <c r="AT22" s="39">
        <v>-362.26</v>
      </c>
      <c r="AU22" s="39">
        <v>-355.83</v>
      </c>
      <c r="AV22" s="39">
        <v>-348.79</v>
      </c>
      <c r="AW22" s="39">
        <v>-341.07</v>
      </c>
      <c r="AX22" s="39">
        <v>-332.64</v>
      </c>
      <c r="AY22" s="39">
        <v>-323.45999999999998</v>
      </c>
      <c r="AZ22" s="39">
        <v>-313.51</v>
      </c>
      <c r="BA22" s="39">
        <v>-302.77</v>
      </c>
      <c r="BB22" s="39">
        <v>-291.2</v>
      </c>
      <c r="BC22" s="39">
        <v>-278.79000000000002</v>
      </c>
      <c r="BD22" s="39">
        <v>-265.52</v>
      </c>
      <c r="BE22" s="39">
        <v>-251.37</v>
      </c>
      <c r="BF22" s="39">
        <v>-235.33</v>
      </c>
      <c r="BG22" s="39">
        <v>-220.46</v>
      </c>
      <c r="BH22" s="39">
        <v>-203.71</v>
      </c>
      <c r="BI22" s="39">
        <v>-186.13</v>
      </c>
      <c r="BJ22" s="39">
        <v>-167.78</v>
      </c>
      <c r="BK22" s="39">
        <v>-148.71</v>
      </c>
      <c r="BL22" s="39">
        <v>-129.02000000000001</v>
      </c>
      <c r="BM22" s="39">
        <v>-108.79</v>
      </c>
      <c r="BN22" s="39">
        <v>-88.16</v>
      </c>
      <c r="BO22" s="39">
        <v>-67.25</v>
      </c>
      <c r="BP22" s="38">
        <v>-46.22</v>
      </c>
      <c r="BQ22" s="38">
        <v>-25.22</v>
      </c>
      <c r="BR22" s="38">
        <v>-4.33</v>
      </c>
      <c r="BS22" s="38">
        <v>16.329999999999998</v>
      </c>
      <c r="BT22" s="38">
        <v>36.68</v>
      </c>
      <c r="BU22" s="38">
        <v>56.64</v>
      </c>
      <c r="BV22" s="38">
        <v>76.13</v>
      </c>
      <c r="BW22" s="38">
        <v>95.09</v>
      </c>
      <c r="BX22" s="38">
        <v>113.47</v>
      </c>
      <c r="BY22" s="38">
        <v>131.22999999999999</v>
      </c>
      <c r="BZ22" s="38">
        <v>148.34</v>
      </c>
      <c r="CA22" s="38">
        <v>164.77</v>
      </c>
      <c r="CB22" s="38">
        <v>180.51</v>
      </c>
      <c r="CC22" s="38">
        <v>195.56</v>
      </c>
      <c r="CD22" s="38">
        <v>209.92</v>
      </c>
      <c r="CE22" s="38">
        <v>223.59</v>
      </c>
      <c r="CF22" s="38">
        <v>236.6</v>
      </c>
      <c r="CG22" s="38">
        <v>248.94</v>
      </c>
      <c r="CH22" s="38">
        <v>260.64999999999998</v>
      </c>
      <c r="CI22" s="38">
        <v>271.73</v>
      </c>
      <c r="CJ22" s="38">
        <v>282.20999999999998</v>
      </c>
      <c r="CK22" s="38">
        <v>292.12</v>
      </c>
      <c r="CL22" s="38">
        <v>301.5</v>
      </c>
      <c r="CM22" s="38">
        <v>310.39999999999998</v>
      </c>
      <c r="CN22" s="38">
        <v>318.85000000000002</v>
      </c>
      <c r="CO22" s="38">
        <v>326.89999999999998</v>
      </c>
      <c r="CP22" s="38">
        <v>334.58</v>
      </c>
      <c r="CQ22" s="38">
        <v>341.9</v>
      </c>
      <c r="CR22" s="38">
        <v>348.89</v>
      </c>
      <c r="CS22" s="38">
        <v>355.57</v>
      </c>
      <c r="CT22" s="38">
        <v>361.95</v>
      </c>
      <c r="CU22" s="38">
        <v>368.07</v>
      </c>
      <c r="CV22" s="38">
        <v>373.91</v>
      </c>
      <c r="CW22" s="38">
        <v>379.51</v>
      </c>
      <c r="CX22" s="38">
        <v>384.87</v>
      </c>
      <c r="CY22" s="38">
        <v>390</v>
      </c>
      <c r="CZ22" s="38">
        <v>394.91</v>
      </c>
      <c r="DA22" s="38">
        <v>399.61</v>
      </c>
      <c r="DB22" s="38">
        <v>404.1</v>
      </c>
      <c r="DC22" s="38">
        <v>407.77</v>
      </c>
      <c r="DD22" s="38">
        <v>412.5</v>
      </c>
    </row>
    <row r="23" spans="1:108" ht="25.8" customHeight="1" x14ac:dyDescent="0.25">
      <c r="T23" s="26"/>
      <c r="U23" s="26"/>
      <c r="V23" s="26"/>
      <c r="W23" s="26"/>
      <c r="AB23" s="39">
        <v>-412.5</v>
      </c>
      <c r="AC23" s="39">
        <v>-407.77</v>
      </c>
      <c r="AD23" s="39">
        <v>-404.1</v>
      </c>
      <c r="AE23" s="39">
        <v>-399.61</v>
      </c>
      <c r="AF23" s="39">
        <v>-394.91</v>
      </c>
      <c r="AG23" s="39">
        <v>-390</v>
      </c>
      <c r="AH23" s="39">
        <v>-384.87</v>
      </c>
      <c r="AI23" s="39">
        <v>-379.51</v>
      </c>
      <c r="AJ23" s="39">
        <v>-373.91</v>
      </c>
      <c r="AK23" s="39">
        <v>-368.07</v>
      </c>
      <c r="AL23" s="39">
        <v>-361.95</v>
      </c>
      <c r="AM23" s="39">
        <v>-355.57</v>
      </c>
      <c r="AN23" s="39">
        <v>-348.89</v>
      </c>
      <c r="AO23" s="39">
        <v>-341.9</v>
      </c>
      <c r="AP23" s="39">
        <v>-334.58</v>
      </c>
      <c r="AQ23" s="39">
        <v>-326.89999999999998</v>
      </c>
      <c r="AR23" s="39">
        <v>-318.85000000000002</v>
      </c>
      <c r="AS23" s="39">
        <v>-310.39999999999998</v>
      </c>
      <c r="AT23" s="39">
        <v>-301.5</v>
      </c>
      <c r="AU23" s="39">
        <v>-292.12</v>
      </c>
      <c r="AV23" s="39">
        <v>-282.20999999999998</v>
      </c>
      <c r="AW23" s="39">
        <v>-271.73</v>
      </c>
      <c r="AX23" s="39">
        <v>-260.64999999999998</v>
      </c>
      <c r="AY23" s="39">
        <v>-248.94</v>
      </c>
      <c r="AZ23" s="39">
        <v>-236.6</v>
      </c>
      <c r="BA23" s="39">
        <v>-223.59</v>
      </c>
      <c r="BB23" s="39">
        <v>-209.92</v>
      </c>
      <c r="BC23" s="39">
        <v>-195.56</v>
      </c>
      <c r="BD23" s="39">
        <v>-180.51</v>
      </c>
      <c r="BE23" s="39">
        <v>-164.77</v>
      </c>
      <c r="BF23" s="39">
        <v>-148.34</v>
      </c>
      <c r="BG23" s="39">
        <v>-131.22999999999999</v>
      </c>
      <c r="BH23" s="39">
        <v>-113.47</v>
      </c>
      <c r="BI23" s="39">
        <v>-95.09</v>
      </c>
      <c r="BJ23" s="39">
        <v>-76.13</v>
      </c>
      <c r="BK23" s="39">
        <v>-56.64</v>
      </c>
      <c r="BL23" s="39">
        <v>-36.68</v>
      </c>
      <c r="BM23" s="39">
        <v>-16.329999999999998</v>
      </c>
      <c r="BN23" s="39">
        <v>4.33</v>
      </c>
      <c r="BO23" s="39">
        <v>25.22</v>
      </c>
      <c r="BP23" s="38">
        <v>46.22</v>
      </c>
      <c r="BQ23" s="38">
        <v>67.25</v>
      </c>
      <c r="BR23" s="38">
        <v>88.16</v>
      </c>
      <c r="BS23" s="38">
        <v>108.79</v>
      </c>
      <c r="BT23" s="38">
        <v>129.02000000000001</v>
      </c>
      <c r="BU23" s="38">
        <v>148.71</v>
      </c>
      <c r="BV23" s="38">
        <v>167.78</v>
      </c>
      <c r="BW23" s="38">
        <v>186.13</v>
      </c>
      <c r="BX23" s="38">
        <v>203.71</v>
      </c>
      <c r="BY23" s="38">
        <v>220.46</v>
      </c>
      <c r="BZ23" s="38">
        <v>235.33</v>
      </c>
      <c r="CA23" s="38">
        <v>251.37</v>
      </c>
      <c r="CB23" s="38">
        <v>265.52</v>
      </c>
      <c r="CC23" s="38">
        <v>278.79000000000002</v>
      </c>
      <c r="CD23" s="38">
        <v>291.2</v>
      </c>
      <c r="CE23" s="38">
        <v>302.77</v>
      </c>
      <c r="CF23" s="38">
        <v>313.51</v>
      </c>
      <c r="CG23" s="38">
        <v>323.45999999999998</v>
      </c>
      <c r="CH23" s="38">
        <v>332.64</v>
      </c>
      <c r="CI23" s="38">
        <v>341.07</v>
      </c>
      <c r="CJ23" s="38">
        <v>348.79</v>
      </c>
      <c r="CK23" s="38">
        <v>355.83</v>
      </c>
      <c r="CL23" s="38">
        <v>362.26</v>
      </c>
      <c r="CM23" s="38">
        <v>368.13</v>
      </c>
      <c r="CN23" s="38">
        <v>373.5</v>
      </c>
      <c r="CO23" s="38">
        <v>378.4</v>
      </c>
      <c r="CP23" s="38">
        <v>382.88</v>
      </c>
      <c r="CQ23" s="38">
        <v>386.97</v>
      </c>
      <c r="CR23" s="38">
        <v>390.68</v>
      </c>
      <c r="CS23" s="38">
        <v>394.05</v>
      </c>
      <c r="CT23" s="38">
        <v>397.09</v>
      </c>
      <c r="CU23" s="38">
        <v>399.82</v>
      </c>
      <c r="CV23" s="38">
        <v>401.49</v>
      </c>
      <c r="CW23" s="38">
        <v>402.26</v>
      </c>
      <c r="CX23" s="38">
        <v>406.31</v>
      </c>
      <c r="CY23" s="38">
        <v>404.62</v>
      </c>
      <c r="CZ23" s="38">
        <v>409.32</v>
      </c>
      <c r="DA23" s="38">
        <v>407.77</v>
      </c>
      <c r="DB23" s="38">
        <v>411.34</v>
      </c>
      <c r="DC23" s="38">
        <v>412.05</v>
      </c>
      <c r="DD23" s="38">
        <v>412.5</v>
      </c>
    </row>
    <row r="24" spans="1:108" ht="25.8" customHeight="1" x14ac:dyDescent="0.25">
      <c r="T24" s="26"/>
      <c r="U24" s="26"/>
      <c r="V24" s="26"/>
      <c r="W24" s="26"/>
      <c r="AB24" s="39">
        <v>-412.5</v>
      </c>
      <c r="AC24" s="39">
        <v>-410.22</v>
      </c>
      <c r="AD24" s="39">
        <v>-407.67</v>
      </c>
      <c r="AE24" s="39">
        <v>-404.88</v>
      </c>
      <c r="AF24" s="39">
        <v>-401.82</v>
      </c>
      <c r="AG24" s="39">
        <v>-398.52</v>
      </c>
      <c r="AH24" s="39">
        <v>-394.98</v>
      </c>
      <c r="AI24" s="39">
        <v>-391.19</v>
      </c>
      <c r="AJ24" s="39">
        <v>-387.17</v>
      </c>
      <c r="AK24" s="39">
        <v>-382.91</v>
      </c>
      <c r="AL24" s="39">
        <v>-378.42</v>
      </c>
      <c r="AM24" s="39">
        <v>-373.7</v>
      </c>
      <c r="AN24" s="39">
        <v>-368.74</v>
      </c>
      <c r="AO24" s="39">
        <v>-363.5</v>
      </c>
      <c r="AP24" s="39">
        <v>-357.95</v>
      </c>
      <c r="AQ24" s="39">
        <v>-352.05</v>
      </c>
      <c r="AR24" s="39">
        <v>-345.75</v>
      </c>
      <c r="AS24" s="39">
        <v>-339.01</v>
      </c>
      <c r="AT24" s="39">
        <v>-331.77</v>
      </c>
      <c r="AU24" s="39">
        <v>-323.95999999999998</v>
      </c>
      <c r="AV24" s="39">
        <v>-315.5</v>
      </c>
      <c r="AW24" s="39">
        <v>-306.3</v>
      </c>
      <c r="AX24" s="39">
        <v>-296.33999999999997</v>
      </c>
      <c r="AY24" s="39">
        <v>-285.58999999999997</v>
      </c>
      <c r="AZ24" s="39">
        <v>-274.05</v>
      </c>
      <c r="BA24" s="39">
        <v>-261.72000000000003</v>
      </c>
      <c r="BB24" s="39">
        <v>-248.6</v>
      </c>
      <c r="BC24" s="39">
        <v>-234.7</v>
      </c>
      <c r="BD24" s="39">
        <v>-220.07</v>
      </c>
      <c r="BE24" s="39">
        <v>-204.73</v>
      </c>
      <c r="BF24" s="39">
        <v>-188.74</v>
      </c>
      <c r="BG24" s="39">
        <v>-172.18</v>
      </c>
      <c r="BH24" s="39">
        <v>-155.13999999999999</v>
      </c>
      <c r="BI24" s="39">
        <v>-137.74</v>
      </c>
      <c r="BJ24" s="39">
        <v>-119.99</v>
      </c>
      <c r="BK24" s="39">
        <v>-101.81</v>
      </c>
      <c r="BL24" s="39">
        <v>-83.11</v>
      </c>
      <c r="BM24" s="39">
        <v>-63.74</v>
      </c>
      <c r="BN24" s="39">
        <v>-43.57</v>
      </c>
      <c r="BO24" s="39">
        <v>-22.41</v>
      </c>
      <c r="BP24" s="38">
        <v>0</v>
      </c>
      <c r="BQ24" s="38">
        <v>22.41</v>
      </c>
      <c r="BR24" s="38">
        <v>43.57</v>
      </c>
      <c r="BS24" s="38">
        <v>63.74</v>
      </c>
      <c r="BT24" s="38">
        <v>83.11</v>
      </c>
      <c r="BU24" s="38">
        <v>101.81</v>
      </c>
      <c r="BV24" s="38">
        <v>119.99</v>
      </c>
      <c r="BW24" s="38">
        <v>137.74</v>
      </c>
      <c r="BX24" s="38">
        <v>155.13999999999999</v>
      </c>
      <c r="BY24" s="38">
        <v>172.18</v>
      </c>
      <c r="BZ24" s="38">
        <v>188.74</v>
      </c>
      <c r="CA24" s="38">
        <v>204.73</v>
      </c>
      <c r="CB24" s="38">
        <v>220.07</v>
      </c>
      <c r="CC24" s="38">
        <v>234.7</v>
      </c>
      <c r="CD24" s="38">
        <v>248.6</v>
      </c>
      <c r="CE24" s="38">
        <v>261.72000000000003</v>
      </c>
      <c r="CF24" s="38">
        <v>274.05</v>
      </c>
      <c r="CG24" s="38">
        <v>285.58999999999997</v>
      </c>
      <c r="CH24" s="38">
        <v>296.33999999999997</v>
      </c>
      <c r="CI24" s="38">
        <v>306.3</v>
      </c>
      <c r="CJ24" s="38">
        <v>315.5</v>
      </c>
      <c r="CK24" s="38">
        <v>323.95999999999998</v>
      </c>
      <c r="CL24" s="38">
        <v>331.77</v>
      </c>
      <c r="CM24" s="38">
        <v>339.01</v>
      </c>
      <c r="CN24" s="38">
        <v>345.75</v>
      </c>
      <c r="CO24" s="38">
        <v>352.05</v>
      </c>
      <c r="CP24" s="38">
        <v>357.95</v>
      </c>
      <c r="CQ24" s="38">
        <v>363.5</v>
      </c>
      <c r="CR24" s="38">
        <v>368.74</v>
      </c>
      <c r="CS24" s="38">
        <v>373.7</v>
      </c>
      <c r="CT24" s="38">
        <v>378.42</v>
      </c>
      <c r="CU24" s="38">
        <v>382.91</v>
      </c>
      <c r="CV24" s="38">
        <v>387.17</v>
      </c>
      <c r="CW24" s="38">
        <v>391.19</v>
      </c>
      <c r="CX24" s="38">
        <v>394.98</v>
      </c>
      <c r="CY24" s="38">
        <v>398.52</v>
      </c>
      <c r="CZ24" s="38">
        <v>401.82</v>
      </c>
      <c r="DA24" s="38">
        <v>404.88</v>
      </c>
      <c r="DB24" s="38">
        <v>407.67</v>
      </c>
      <c r="DC24" s="38">
        <v>410.22</v>
      </c>
      <c r="DD24" s="38">
        <v>412.5</v>
      </c>
    </row>
    <row r="25" spans="1:108" x14ac:dyDescent="0.25">
      <c r="T25" s="26"/>
      <c r="U25" s="26"/>
      <c r="V25" s="26"/>
      <c r="W25" s="26"/>
    </row>
    <row r="26" spans="1:108" x14ac:dyDescent="0.25">
      <c r="T26" s="26"/>
      <c r="U26" s="26"/>
      <c r="V26" s="26"/>
      <c r="W26" s="26"/>
    </row>
    <row r="27" spans="1:108" x14ac:dyDescent="0.25">
      <c r="T27" s="26"/>
      <c r="U27" s="26"/>
      <c r="V27" s="26"/>
      <c r="W27" s="26"/>
    </row>
    <row r="28" spans="1:108" x14ac:dyDescent="0.25">
      <c r="T28" s="26"/>
      <c r="U28" s="26"/>
      <c r="V28" s="26"/>
      <c r="W28" s="26"/>
    </row>
    <row r="29" spans="1:108" x14ac:dyDescent="0.25">
      <c r="T29" s="26"/>
      <c r="U29" s="26"/>
      <c r="V29" s="26"/>
      <c r="W29" s="26"/>
    </row>
    <row r="30" spans="1:108" x14ac:dyDescent="0.25">
      <c r="T30" s="26"/>
      <c r="U30" s="26"/>
      <c r="V30" s="26"/>
      <c r="W30" s="26"/>
    </row>
    <row r="31" spans="1:108" x14ac:dyDescent="0.25">
      <c r="T31" s="26"/>
      <c r="U31" s="26"/>
      <c r="V31" s="26"/>
      <c r="W31" s="26"/>
    </row>
    <row r="32" spans="1:108" x14ac:dyDescent="0.25">
      <c r="T32" s="26"/>
      <c r="U32" s="26"/>
      <c r="V32" s="26"/>
      <c r="W32" s="26"/>
    </row>
    <row r="33" spans="20:23" x14ac:dyDescent="0.25">
      <c r="T33" s="26"/>
      <c r="U33" s="26"/>
      <c r="V33" s="26"/>
      <c r="W33" s="26"/>
    </row>
    <row r="34" spans="20:23" x14ac:dyDescent="0.25">
      <c r="T34" s="26"/>
      <c r="U34" s="26"/>
      <c r="V34" s="26"/>
      <c r="W34" s="26"/>
    </row>
    <row r="35" spans="20:23" x14ac:dyDescent="0.25">
      <c r="T35" s="26"/>
      <c r="U35" s="26"/>
      <c r="V35" s="26"/>
      <c r="W35" s="26"/>
    </row>
    <row r="36" spans="20:23" x14ac:dyDescent="0.25">
      <c r="T36" s="26"/>
      <c r="U36" s="26"/>
      <c r="V36" s="26"/>
      <c r="W36" s="26"/>
    </row>
    <row r="37" spans="20:23" x14ac:dyDescent="0.25">
      <c r="T37" s="26"/>
      <c r="U37" s="26"/>
      <c r="V37" s="26"/>
      <c r="W37" s="26"/>
    </row>
    <row r="38" spans="20:23" x14ac:dyDescent="0.25">
      <c r="T38" s="26"/>
      <c r="U38" s="26"/>
      <c r="V38" s="26"/>
      <c r="W38" s="26"/>
    </row>
    <row r="39" spans="20:23" x14ac:dyDescent="0.25">
      <c r="T39" s="26"/>
      <c r="U39" s="26"/>
      <c r="V39" s="26"/>
      <c r="W39" s="26"/>
    </row>
    <row r="40" spans="20:23" x14ac:dyDescent="0.25">
      <c r="T40" s="26"/>
      <c r="U40" s="26"/>
      <c r="V40" s="26"/>
      <c r="W40" s="26"/>
    </row>
    <row r="41" spans="20:23" x14ac:dyDescent="0.25">
      <c r="T41" s="26"/>
      <c r="U41" s="26"/>
      <c r="V41" s="26"/>
      <c r="W41" s="26"/>
    </row>
    <row r="42" spans="20:23" x14ac:dyDescent="0.25">
      <c r="T42" s="26"/>
      <c r="U42" s="26"/>
      <c r="V42" s="26"/>
      <c r="W42" s="26"/>
    </row>
    <row r="43" spans="20:23" x14ac:dyDescent="0.25">
      <c r="T43" s="26"/>
      <c r="U43" s="26"/>
      <c r="V43" s="26"/>
      <c r="W43" s="26"/>
    </row>
    <row r="44" spans="20:23" x14ac:dyDescent="0.25">
      <c r="T44" s="26"/>
      <c r="U44" s="26"/>
      <c r="V44" s="26"/>
      <c r="W44" s="26"/>
    </row>
    <row r="45" spans="20:23" x14ac:dyDescent="0.25">
      <c r="T45" s="26"/>
      <c r="U45" s="26"/>
      <c r="V45" s="26"/>
      <c r="W45" s="26"/>
    </row>
    <row r="46" spans="20:23" x14ac:dyDescent="0.25">
      <c r="T46" s="26"/>
      <c r="U46" s="26"/>
      <c r="V46" s="26"/>
      <c r="W46" s="26"/>
    </row>
    <row r="47" spans="20:23" x14ac:dyDescent="0.25">
      <c r="T47" s="26"/>
      <c r="U47" s="26"/>
      <c r="V47" s="26"/>
      <c r="W47" s="26"/>
    </row>
    <row r="48" spans="20:23" x14ac:dyDescent="0.25">
      <c r="T48" s="26"/>
      <c r="U48" s="26"/>
      <c r="V48" s="26"/>
      <c r="W48" s="26"/>
    </row>
    <row r="49" spans="20:23" x14ac:dyDescent="0.25">
      <c r="T49" s="26"/>
      <c r="U49" s="26"/>
      <c r="V49" s="26"/>
      <c r="W49" s="26"/>
    </row>
  </sheetData>
  <sortState columnSort="1" ref="AA10:BN14">
    <sortCondition descending="1" ref="AA10:BN10"/>
  </sortState>
  <mergeCells count="1">
    <mergeCell ref="A2:Q2"/>
  </mergeCells>
  <phoneticPr fontId="2" type="noConversion"/>
  <pageMargins left="0" right="0" top="0.35433070866141736" bottom="0.35433070866141736" header="0" footer="0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"/>
  <sheetViews>
    <sheetView workbookViewId="0">
      <selection activeCell="L11" sqref="L11"/>
    </sheetView>
  </sheetViews>
  <sheetFormatPr defaultRowHeight="13.8" x14ac:dyDescent="0.25"/>
  <cols>
    <col min="1" max="1" width="10.109375" customWidth="1"/>
  </cols>
  <sheetData>
    <row r="2" spans="1:17" ht="28.2" customHeight="1" x14ac:dyDescent="0.25">
      <c r="A2" s="8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</row>
    <row r="3" spans="1:17" ht="28.8" x14ac:dyDescent="0.25">
      <c r="A3" s="10" t="s">
        <v>11</v>
      </c>
      <c r="B3" s="3">
        <v>0.1</v>
      </c>
      <c r="C3" s="3">
        <f>B3+0.1</f>
        <v>0.2</v>
      </c>
      <c r="D3" s="3">
        <f>C3+0.1</f>
        <v>0.30000000000000004</v>
      </c>
      <c r="E3" s="3">
        <f t="shared" ref="E3:F3" si="0">D3+0.1</f>
        <v>0.4</v>
      </c>
      <c r="F3" s="3">
        <f t="shared" si="0"/>
        <v>0.5</v>
      </c>
      <c r="G3" s="3">
        <v>0.1</v>
      </c>
      <c r="H3" s="3">
        <f>G3+0.1</f>
        <v>0.2</v>
      </c>
      <c r="I3" s="3">
        <f t="shared" ref="I3:K3" si="1">H3+0.1</f>
        <v>0.30000000000000004</v>
      </c>
      <c r="J3" s="3">
        <f t="shared" si="1"/>
        <v>0.4</v>
      </c>
      <c r="K3" s="3">
        <f t="shared" si="1"/>
        <v>0.5</v>
      </c>
      <c r="L3" s="3">
        <f>K3+0.1</f>
        <v>0.6</v>
      </c>
      <c r="M3" s="3">
        <v>0.1</v>
      </c>
      <c r="N3" s="3">
        <f>M3+0.1</f>
        <v>0.2</v>
      </c>
      <c r="O3" s="3">
        <f t="shared" ref="O3:Q3" si="2">N3+0.1</f>
        <v>0.30000000000000004</v>
      </c>
      <c r="P3" s="3">
        <f t="shared" si="2"/>
        <v>0.4</v>
      </c>
      <c r="Q3" s="3">
        <f t="shared" si="2"/>
        <v>0.5</v>
      </c>
    </row>
    <row r="4" spans="1:17" ht="28.8" x14ac:dyDescent="0.25">
      <c r="A4" s="10" t="s">
        <v>12</v>
      </c>
      <c r="B4" s="4">
        <v>0</v>
      </c>
      <c r="C4" s="4">
        <v>0</v>
      </c>
      <c r="D4" s="4">
        <v>0</v>
      </c>
      <c r="E4" s="4">
        <v>0</v>
      </c>
      <c r="F4" s="4">
        <f t="shared" ref="F4:Q4" si="3">E4+7.2</f>
        <v>7.2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f t="shared" si="3"/>
        <v>7.2</v>
      </c>
      <c r="M4" s="4">
        <v>0</v>
      </c>
      <c r="N4" s="4">
        <v>0</v>
      </c>
      <c r="O4" s="4">
        <v>0</v>
      </c>
      <c r="P4" s="4">
        <v>0</v>
      </c>
      <c r="Q4" s="4">
        <f t="shared" si="3"/>
        <v>7.2</v>
      </c>
    </row>
    <row r="5" spans="1:17" ht="28.8" x14ac:dyDescent="0.25">
      <c r="A5" s="16" t="s">
        <v>11</v>
      </c>
      <c r="B5" s="49">
        <f>(F3+L3+Q3)/3</f>
        <v>0.53333333333333333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</sheetData>
  <mergeCells count="1">
    <mergeCell ref="B5:Q5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workbookViewId="0">
      <selection activeCell="L13" sqref="L13"/>
    </sheetView>
  </sheetViews>
  <sheetFormatPr defaultRowHeight="13.8" x14ac:dyDescent="0.25"/>
  <cols>
    <col min="1" max="1" width="8" customWidth="1"/>
    <col min="2" max="2" width="7.33203125" customWidth="1"/>
  </cols>
  <sheetData>
    <row r="1" spans="1:27" ht="20.399999999999999" x14ac:dyDescent="0.25">
      <c r="A1" s="46" t="s">
        <v>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spans="1:27" ht="30" customHeight="1" x14ac:dyDescent="0.25">
      <c r="A2" s="42"/>
      <c r="B2" s="42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</row>
    <row r="3" spans="1:27" ht="19.8" customHeight="1" x14ac:dyDescent="0.25">
      <c r="A3" s="44" t="s">
        <v>0</v>
      </c>
      <c r="B3" s="44"/>
      <c r="C3" s="3">
        <v>0</v>
      </c>
      <c r="D3" s="3">
        <f t="shared" ref="D3:AA3" si="0">C3+1500</f>
        <v>1500</v>
      </c>
      <c r="E3" s="3">
        <f t="shared" si="0"/>
        <v>3000</v>
      </c>
      <c r="F3" s="3">
        <f t="shared" si="0"/>
        <v>4500</v>
      </c>
      <c r="G3" s="3">
        <f t="shared" si="0"/>
        <v>6000</v>
      </c>
      <c r="H3" s="3">
        <f t="shared" si="0"/>
        <v>7500</v>
      </c>
      <c r="I3" s="3">
        <f t="shared" si="0"/>
        <v>9000</v>
      </c>
      <c r="J3" s="3">
        <f t="shared" si="0"/>
        <v>10500</v>
      </c>
      <c r="K3" s="3">
        <f t="shared" si="0"/>
        <v>12000</v>
      </c>
      <c r="L3" s="3">
        <f t="shared" si="0"/>
        <v>13500</v>
      </c>
      <c r="M3" s="3">
        <f t="shared" si="0"/>
        <v>15000</v>
      </c>
      <c r="N3" s="3">
        <f t="shared" si="0"/>
        <v>16500</v>
      </c>
      <c r="O3" s="3">
        <f t="shared" si="0"/>
        <v>18000</v>
      </c>
      <c r="P3" s="3">
        <f t="shared" si="0"/>
        <v>19500</v>
      </c>
      <c r="Q3" s="3">
        <f t="shared" si="0"/>
        <v>21000</v>
      </c>
      <c r="R3" s="3">
        <f t="shared" si="0"/>
        <v>22500</v>
      </c>
      <c r="S3" s="3">
        <f t="shared" si="0"/>
        <v>24000</v>
      </c>
      <c r="T3" s="3">
        <f t="shared" si="0"/>
        <v>25500</v>
      </c>
      <c r="U3" s="3">
        <f t="shared" si="0"/>
        <v>27000</v>
      </c>
      <c r="V3" s="3">
        <f t="shared" si="0"/>
        <v>28500</v>
      </c>
      <c r="W3" s="3">
        <f t="shared" si="0"/>
        <v>30000</v>
      </c>
      <c r="X3" s="3">
        <f t="shared" si="0"/>
        <v>31500</v>
      </c>
      <c r="Y3" s="3">
        <f t="shared" si="0"/>
        <v>33000</v>
      </c>
      <c r="Z3" s="3">
        <f t="shared" si="0"/>
        <v>34500</v>
      </c>
      <c r="AA3" s="3">
        <f t="shared" si="0"/>
        <v>36000</v>
      </c>
    </row>
    <row r="4" spans="1:27" ht="19.2" customHeight="1" x14ac:dyDescent="0.25">
      <c r="A4" s="47" t="s">
        <v>6</v>
      </c>
      <c r="B4" s="11" t="s">
        <v>1</v>
      </c>
      <c r="C4" s="4">
        <v>0</v>
      </c>
      <c r="D4" s="4">
        <f t="shared" ref="D4:AA4" si="1">C4+15</f>
        <v>15</v>
      </c>
      <c r="E4" s="4">
        <f t="shared" si="1"/>
        <v>30</v>
      </c>
      <c r="F4" s="4">
        <f t="shared" si="1"/>
        <v>45</v>
      </c>
      <c r="G4" s="4">
        <f t="shared" si="1"/>
        <v>60</v>
      </c>
      <c r="H4" s="4">
        <f t="shared" si="1"/>
        <v>75</v>
      </c>
      <c r="I4" s="4">
        <f t="shared" si="1"/>
        <v>90</v>
      </c>
      <c r="J4" s="4">
        <f t="shared" si="1"/>
        <v>105</v>
      </c>
      <c r="K4" s="4">
        <f t="shared" si="1"/>
        <v>120</v>
      </c>
      <c r="L4" s="4">
        <f t="shared" si="1"/>
        <v>135</v>
      </c>
      <c r="M4" s="4">
        <f t="shared" si="1"/>
        <v>150</v>
      </c>
      <c r="N4" s="4">
        <f t="shared" si="1"/>
        <v>165</v>
      </c>
      <c r="O4" s="4">
        <f t="shared" si="1"/>
        <v>180</v>
      </c>
      <c r="P4" s="4">
        <f t="shared" si="1"/>
        <v>195</v>
      </c>
      <c r="Q4" s="4">
        <f t="shared" si="1"/>
        <v>210</v>
      </c>
      <c r="R4" s="4">
        <f t="shared" si="1"/>
        <v>225</v>
      </c>
      <c r="S4" s="4">
        <f t="shared" si="1"/>
        <v>240</v>
      </c>
      <c r="T4" s="4">
        <f t="shared" si="1"/>
        <v>255</v>
      </c>
      <c r="U4" s="4">
        <f t="shared" si="1"/>
        <v>270</v>
      </c>
      <c r="V4" s="4">
        <f t="shared" si="1"/>
        <v>285</v>
      </c>
      <c r="W4" s="4">
        <f t="shared" si="1"/>
        <v>300</v>
      </c>
      <c r="X4" s="4">
        <f t="shared" si="1"/>
        <v>315</v>
      </c>
      <c r="Y4" s="4">
        <f t="shared" si="1"/>
        <v>330</v>
      </c>
      <c r="Z4" s="4">
        <f t="shared" si="1"/>
        <v>345</v>
      </c>
      <c r="AA4" s="4">
        <f t="shared" si="1"/>
        <v>360</v>
      </c>
    </row>
    <row r="5" spans="1:27" ht="18.600000000000001" customHeight="1" x14ac:dyDescent="0.25">
      <c r="A5" s="48"/>
      <c r="B5" s="11" t="s">
        <v>2</v>
      </c>
      <c r="C5" s="1">
        <f>C4+C6</f>
        <v>0</v>
      </c>
      <c r="D5" s="1">
        <f>D4+D6/3600</f>
        <v>15.001930037398369</v>
      </c>
      <c r="E5" s="1">
        <f t="shared" ref="E5:AA5" si="2">E4+E6/3600</f>
        <v>30.013253738226286</v>
      </c>
      <c r="F5" s="1">
        <f t="shared" si="2"/>
        <v>44.988115481886545</v>
      </c>
      <c r="G5" s="1">
        <f t="shared" si="2"/>
        <v>60.012861110096047</v>
      </c>
      <c r="H5" s="1">
        <f t="shared" si="2"/>
        <v>74.995030891653428</v>
      </c>
      <c r="I5" s="1">
        <f t="shared" si="2"/>
        <v>90.009107764811191</v>
      </c>
      <c r="J5" s="1">
        <f t="shared" si="2"/>
        <v>104.99563109099616</v>
      </c>
      <c r="K5" s="1">
        <f t="shared" si="2"/>
        <v>120.01046642066387</v>
      </c>
      <c r="L5" s="1">
        <f t="shared" si="2"/>
        <v>135.00025547440549</v>
      </c>
      <c r="M5" s="1">
        <f t="shared" si="2"/>
        <v>149.9924856218604</v>
      </c>
      <c r="N5" s="1">
        <f t="shared" si="2"/>
        <v>165.00276701880168</v>
      </c>
      <c r="O5" s="1">
        <f t="shared" si="2"/>
        <v>180.00705938474229</v>
      </c>
      <c r="P5" s="1">
        <f t="shared" si="2"/>
        <v>195.0033902977606</v>
      </c>
      <c r="Q5" s="1">
        <f t="shared" si="2"/>
        <v>210.01279244793852</v>
      </c>
      <c r="R5" s="1">
        <f t="shared" si="2"/>
        <v>224.98953740331302</v>
      </c>
      <c r="S5" s="1">
        <f t="shared" si="2"/>
        <v>239.98756113425637</v>
      </c>
      <c r="T5" s="1">
        <f t="shared" si="2"/>
        <v>255.01004946174621</v>
      </c>
      <c r="U5" s="1">
        <f t="shared" si="2"/>
        <v>270.01090880031467</v>
      </c>
      <c r="V5" s="1">
        <f t="shared" si="2"/>
        <v>284.99594465695543</v>
      </c>
      <c r="W5" s="1">
        <f t="shared" si="2"/>
        <v>299.98808867007648</v>
      </c>
      <c r="X5" s="1">
        <f t="shared" si="2"/>
        <v>315.00080945376459</v>
      </c>
      <c r="Y5" s="1">
        <f t="shared" si="2"/>
        <v>330.01161466409513</v>
      </c>
      <c r="Z5" s="1">
        <f t="shared" si="2"/>
        <v>345.00580000000002</v>
      </c>
      <c r="AA5" s="1">
        <f t="shared" si="2"/>
        <v>360.00375000000003</v>
      </c>
    </row>
    <row r="6" spans="1:27" ht="18.600000000000001" customHeight="1" x14ac:dyDescent="0.25">
      <c r="A6" s="43" t="s">
        <v>9</v>
      </c>
      <c r="B6" s="43"/>
      <c r="C6" s="1">
        <v>0</v>
      </c>
      <c r="D6" s="5">
        <v>6.948134634130021</v>
      </c>
      <c r="E6" s="5">
        <v>47.7134576146277</v>
      </c>
      <c r="F6" s="5">
        <v>-42.784265208444808</v>
      </c>
      <c r="G6" s="5">
        <v>46.299996345779562</v>
      </c>
      <c r="H6" s="5">
        <v>-17.888790047672988</v>
      </c>
      <c r="I6" s="5">
        <v>32.787953320270013</v>
      </c>
      <c r="J6" s="5">
        <v>-15.728072413849803</v>
      </c>
      <c r="K6" s="5">
        <v>37.67911438996726</v>
      </c>
      <c r="L6" s="5">
        <v>0.91970785974433422</v>
      </c>
      <c r="M6" s="5">
        <v>-27.051761302538189</v>
      </c>
      <c r="N6" s="5">
        <v>9.9612676860121763</v>
      </c>
      <c r="O6" s="5">
        <v>25.413785072277996</v>
      </c>
      <c r="P6" s="5">
        <v>12.205071938138879</v>
      </c>
      <c r="Q6" s="5">
        <v>46.052812578711311</v>
      </c>
      <c r="R6" s="5">
        <v>-37.665348073145324</v>
      </c>
      <c r="S6" s="5">
        <v>-44.77991667707775</v>
      </c>
      <c r="T6" s="5">
        <v>36.178062286353907</v>
      </c>
      <c r="U6" s="5">
        <v>39.271681132715287</v>
      </c>
      <c r="V6" s="5">
        <v>-14.599234960547914</v>
      </c>
      <c r="W6" s="5">
        <v>-42.880787724768901</v>
      </c>
      <c r="X6" s="5">
        <v>2.9140335525540295</v>
      </c>
      <c r="Y6" s="5">
        <v>41.812790742400111</v>
      </c>
      <c r="Z6" s="5">
        <v>20.88</v>
      </c>
      <c r="AA6" s="5">
        <v>13.5</v>
      </c>
    </row>
  </sheetData>
  <mergeCells count="5">
    <mergeCell ref="A1:AA1"/>
    <mergeCell ref="A2:B2"/>
    <mergeCell ref="A3:B3"/>
    <mergeCell ref="A4:A5"/>
    <mergeCell ref="A6:B6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opLeftCell="A16" workbookViewId="0">
      <selection activeCell="W45" sqref="W45"/>
    </sheetView>
  </sheetViews>
  <sheetFormatPr defaultRowHeight="13.8" x14ac:dyDescent="0.25"/>
  <cols>
    <col min="1" max="1" width="11.21875" customWidth="1"/>
    <col min="2" max="22" width="6.109375" customWidth="1"/>
  </cols>
  <sheetData>
    <row r="1" spans="1:22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2" ht="30" customHeight="1" x14ac:dyDescent="0.25">
      <c r="A2" s="8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</row>
    <row r="3" spans="1:22" ht="22.2" customHeight="1" x14ac:dyDescent="0.25">
      <c r="A3" s="22" t="s">
        <v>15</v>
      </c>
      <c r="B3" s="14">
        <v>1000</v>
      </c>
      <c r="C3" s="14">
        <v>1000</v>
      </c>
      <c r="D3" s="14">
        <v>1000</v>
      </c>
      <c r="E3" s="14">
        <v>1000</v>
      </c>
      <c r="F3" s="14">
        <v>1000</v>
      </c>
      <c r="G3" s="14">
        <v>1000</v>
      </c>
      <c r="H3" s="14">
        <v>1000</v>
      </c>
      <c r="I3" s="14">
        <v>1000</v>
      </c>
      <c r="J3" s="14">
        <v>1000</v>
      </c>
      <c r="K3" s="14">
        <v>1000</v>
      </c>
      <c r="L3" s="14">
        <v>1000</v>
      </c>
      <c r="M3" s="14">
        <v>1000</v>
      </c>
      <c r="N3" s="14">
        <v>1000</v>
      </c>
      <c r="O3" s="14">
        <v>1000</v>
      </c>
      <c r="P3" s="14">
        <v>1000</v>
      </c>
      <c r="Q3" s="14">
        <v>1000</v>
      </c>
      <c r="R3" s="14">
        <v>1000</v>
      </c>
      <c r="S3" s="14">
        <v>1000</v>
      </c>
      <c r="T3" s="14">
        <v>1000</v>
      </c>
      <c r="U3" s="14">
        <v>1000</v>
      </c>
      <c r="V3" s="14">
        <v>1000</v>
      </c>
    </row>
    <row r="4" spans="1:22" ht="22.2" customHeight="1" x14ac:dyDescent="0.25">
      <c r="A4" s="17" t="s">
        <v>17</v>
      </c>
      <c r="B4" s="15">
        <v>0</v>
      </c>
      <c r="C4" s="15">
        <v>0.2</v>
      </c>
      <c r="D4" s="15">
        <v>0.23</v>
      </c>
      <c r="E4" s="15">
        <v>0.249</v>
      </c>
      <c r="F4" s="15">
        <v>0.25</v>
      </c>
      <c r="G4" s="15">
        <v>0.26100000000000001</v>
      </c>
      <c r="H4" s="15">
        <v>0.27600000000000002</v>
      </c>
      <c r="I4" s="15">
        <v>0.29499999999999998</v>
      </c>
      <c r="J4" s="15">
        <v>0.318</v>
      </c>
      <c r="K4" s="15">
        <v>0.34100000000000003</v>
      </c>
      <c r="L4" s="15">
        <v>0.35199999999999998</v>
      </c>
      <c r="M4" s="15">
        <v>0.371</v>
      </c>
      <c r="N4" s="15">
        <v>0.378</v>
      </c>
      <c r="O4" s="15">
        <v>0.4</v>
      </c>
      <c r="P4" s="15">
        <v>0.42</v>
      </c>
      <c r="Q4" s="15">
        <v>0.436</v>
      </c>
      <c r="R4" s="15">
        <v>0.47</v>
      </c>
      <c r="S4" s="15">
        <v>0.49</v>
      </c>
      <c r="T4" s="15">
        <v>0.51400000000000001</v>
      </c>
      <c r="U4" s="15">
        <v>0.52800000000000002</v>
      </c>
      <c r="V4" s="15">
        <v>0.55000000000000004</v>
      </c>
    </row>
    <row r="5" spans="1:22" ht="22.2" customHeight="1" x14ac:dyDescent="0.25">
      <c r="A5" s="18" t="s">
        <v>19</v>
      </c>
      <c r="B5" s="15">
        <f>B3*B4/9550</f>
        <v>0</v>
      </c>
      <c r="C5" s="15">
        <f>C3*C4/9550</f>
        <v>2.0942408376963352E-2</v>
      </c>
      <c r="D5" s="15">
        <f t="shared" ref="D5:V5" si="0">D3*D4/9550</f>
        <v>2.4083769633507852E-2</v>
      </c>
      <c r="E5" s="15">
        <f>E3*E4/9550</f>
        <v>2.6073298429319373E-2</v>
      </c>
      <c r="F5" s="15">
        <f t="shared" si="0"/>
        <v>2.6178010471204188E-2</v>
      </c>
      <c r="G5" s="15">
        <f t="shared" si="0"/>
        <v>2.7329842931937173E-2</v>
      </c>
      <c r="H5" s="15">
        <f t="shared" si="0"/>
        <v>2.8900523560209425E-2</v>
      </c>
      <c r="I5" s="15">
        <f t="shared" si="0"/>
        <v>3.0890052356020943E-2</v>
      </c>
      <c r="J5" s="15">
        <f>J3*J4/9550</f>
        <v>3.3298429319371728E-2</v>
      </c>
      <c r="K5" s="15">
        <f t="shared" si="0"/>
        <v>3.5706806282722513E-2</v>
      </c>
      <c r="L5" s="15">
        <f t="shared" si="0"/>
        <v>3.6858638743455498E-2</v>
      </c>
      <c r="M5" s="15">
        <f t="shared" si="0"/>
        <v>3.8848167539267016E-2</v>
      </c>
      <c r="N5" s="15">
        <f t="shared" si="0"/>
        <v>3.9581151832460734E-2</v>
      </c>
      <c r="O5" s="15">
        <f>O3*O4/9550</f>
        <v>4.1884816753926704E-2</v>
      </c>
      <c r="P5" s="15">
        <f t="shared" si="0"/>
        <v>4.3979057591623037E-2</v>
      </c>
      <c r="Q5" s="15">
        <f t="shared" si="0"/>
        <v>4.5654450261780104E-2</v>
      </c>
      <c r="R5" s="15">
        <f t="shared" si="0"/>
        <v>4.9214659685863874E-2</v>
      </c>
      <c r="S5" s="15">
        <f t="shared" si="0"/>
        <v>5.1308900523560207E-2</v>
      </c>
      <c r="T5" s="15">
        <f t="shared" si="0"/>
        <v>5.3821989528795813E-2</v>
      </c>
      <c r="U5" s="15">
        <f t="shared" si="0"/>
        <v>5.5287958115183243E-2</v>
      </c>
      <c r="V5" s="15">
        <f t="shared" si="0"/>
        <v>5.7591623036649213E-2</v>
      </c>
    </row>
    <row r="6" spans="1:22" ht="22.2" customHeight="1" x14ac:dyDescent="0.25">
      <c r="A6" s="17" t="s">
        <v>16</v>
      </c>
      <c r="B6" s="15">
        <v>10</v>
      </c>
      <c r="C6" s="15">
        <v>10</v>
      </c>
      <c r="D6" s="15">
        <v>10</v>
      </c>
      <c r="E6" s="15">
        <v>10</v>
      </c>
      <c r="F6" s="15">
        <v>10</v>
      </c>
      <c r="G6" s="15">
        <v>10</v>
      </c>
      <c r="H6" s="15">
        <v>10</v>
      </c>
      <c r="I6" s="15">
        <v>10</v>
      </c>
      <c r="J6" s="15">
        <v>10</v>
      </c>
      <c r="K6" s="15">
        <v>10</v>
      </c>
      <c r="L6" s="15">
        <v>10</v>
      </c>
      <c r="M6" s="15">
        <v>10</v>
      </c>
      <c r="N6" s="15">
        <v>10</v>
      </c>
      <c r="O6" s="15">
        <v>10</v>
      </c>
      <c r="P6" s="15">
        <v>10</v>
      </c>
      <c r="Q6" s="15">
        <v>10</v>
      </c>
      <c r="R6" s="15">
        <v>10</v>
      </c>
      <c r="S6" s="15">
        <v>10</v>
      </c>
      <c r="T6" s="15">
        <v>10</v>
      </c>
      <c r="U6" s="15">
        <v>10</v>
      </c>
      <c r="V6" s="15">
        <v>10</v>
      </c>
    </row>
    <row r="7" spans="1:22" ht="22.2" customHeight="1" x14ac:dyDescent="0.25">
      <c r="A7" s="19" t="s">
        <v>18</v>
      </c>
      <c r="B7" s="1">
        <v>0</v>
      </c>
      <c r="C7" s="1">
        <f>B7+52/20</f>
        <v>2.6</v>
      </c>
      <c r="D7" s="1">
        <f t="shared" ref="D7:V7" si="1">C7+52/20</f>
        <v>5.2</v>
      </c>
      <c r="E7" s="1">
        <f t="shared" si="1"/>
        <v>7.8000000000000007</v>
      </c>
      <c r="F7" s="1">
        <f t="shared" si="1"/>
        <v>10.4</v>
      </c>
      <c r="G7" s="1">
        <f t="shared" si="1"/>
        <v>13</v>
      </c>
      <c r="H7" s="1">
        <f t="shared" si="1"/>
        <v>15.6</v>
      </c>
      <c r="I7" s="1">
        <f t="shared" si="1"/>
        <v>18.2</v>
      </c>
      <c r="J7" s="1">
        <f t="shared" si="1"/>
        <v>20.8</v>
      </c>
      <c r="K7" s="1">
        <f t="shared" si="1"/>
        <v>23.400000000000002</v>
      </c>
      <c r="L7" s="1">
        <f t="shared" si="1"/>
        <v>26.000000000000004</v>
      </c>
      <c r="M7" s="1">
        <f t="shared" si="1"/>
        <v>28.600000000000005</v>
      </c>
      <c r="N7" s="1">
        <f t="shared" si="1"/>
        <v>31.200000000000006</v>
      </c>
      <c r="O7" s="1">
        <f t="shared" si="1"/>
        <v>33.800000000000004</v>
      </c>
      <c r="P7" s="1">
        <f t="shared" si="1"/>
        <v>36.400000000000006</v>
      </c>
      <c r="Q7" s="1">
        <f t="shared" si="1"/>
        <v>39.000000000000007</v>
      </c>
      <c r="R7" s="1">
        <f t="shared" si="1"/>
        <v>41.600000000000009</v>
      </c>
      <c r="S7" s="1">
        <f t="shared" si="1"/>
        <v>44.20000000000001</v>
      </c>
      <c r="T7" s="1">
        <f t="shared" si="1"/>
        <v>46.800000000000011</v>
      </c>
      <c r="U7" s="1">
        <f t="shared" si="1"/>
        <v>49.400000000000013</v>
      </c>
      <c r="V7" s="1">
        <f t="shared" si="1"/>
        <v>52.000000000000014</v>
      </c>
    </row>
    <row r="8" spans="1:22" ht="22.2" customHeight="1" x14ac:dyDescent="0.25">
      <c r="A8" s="18" t="s">
        <v>20</v>
      </c>
      <c r="B8" s="1">
        <f>B6*B7/9550</f>
        <v>0</v>
      </c>
      <c r="C8" s="20">
        <f t="shared" ref="C8:V8" si="2">C6*C7/9550</f>
        <v>2.7225130890052357E-3</v>
      </c>
      <c r="D8" s="20">
        <f t="shared" si="2"/>
        <v>5.4450261780104713E-3</v>
      </c>
      <c r="E8" s="20">
        <f t="shared" si="2"/>
        <v>8.1675392670157061E-3</v>
      </c>
      <c r="F8" s="20">
        <f t="shared" si="2"/>
        <v>1.0890052356020943E-2</v>
      </c>
      <c r="G8" s="20">
        <f t="shared" si="2"/>
        <v>1.3612565445026177E-2</v>
      </c>
      <c r="H8" s="20">
        <f t="shared" si="2"/>
        <v>1.6335078534031412E-2</v>
      </c>
      <c r="I8" s="20">
        <f t="shared" si="2"/>
        <v>1.9057591623036649E-2</v>
      </c>
      <c r="J8" s="20">
        <f t="shared" si="2"/>
        <v>2.1780104712041885E-2</v>
      </c>
      <c r="K8" s="20">
        <f t="shared" si="2"/>
        <v>2.4502617801047122E-2</v>
      </c>
      <c r="L8" s="20">
        <f t="shared" si="2"/>
        <v>2.7225130890052362E-2</v>
      </c>
      <c r="M8" s="20">
        <f t="shared" si="2"/>
        <v>2.9947643979057598E-2</v>
      </c>
      <c r="N8" s="20">
        <f t="shared" si="2"/>
        <v>3.2670157068062831E-2</v>
      </c>
      <c r="O8" s="20">
        <f t="shared" si="2"/>
        <v>3.5392670157068068E-2</v>
      </c>
      <c r="P8" s="20">
        <f t="shared" si="2"/>
        <v>3.8115183246073304E-2</v>
      </c>
      <c r="Q8" s="20">
        <f t="shared" si="2"/>
        <v>4.0837696335078541E-2</v>
      </c>
      <c r="R8" s="20">
        <f t="shared" si="2"/>
        <v>4.3560209424083784E-2</v>
      </c>
      <c r="S8" s="20">
        <f t="shared" si="2"/>
        <v>4.6282722513089014E-2</v>
      </c>
      <c r="T8" s="20">
        <f t="shared" si="2"/>
        <v>4.9005235602094251E-2</v>
      </c>
      <c r="U8" s="20">
        <f t="shared" si="2"/>
        <v>5.1727748691099487E-2</v>
      </c>
      <c r="V8" s="20">
        <f t="shared" si="2"/>
        <v>5.4450261780104724E-2</v>
      </c>
    </row>
    <row r="9" spans="1:22" ht="21" customHeight="1" x14ac:dyDescent="0.25">
      <c r="A9" s="21" t="s">
        <v>14</v>
      </c>
      <c r="B9" s="1">
        <v>0</v>
      </c>
      <c r="C9" s="20">
        <f>C8/C5</f>
        <v>0.13</v>
      </c>
      <c r="D9" s="20">
        <f t="shared" ref="D9:V9" si="3">D8/D5</f>
        <v>0.22608695652173916</v>
      </c>
      <c r="E9" s="20">
        <f t="shared" si="3"/>
        <v>0.31325301204819272</v>
      </c>
      <c r="F9" s="20">
        <f t="shared" si="3"/>
        <v>0.41600000000000004</v>
      </c>
      <c r="G9" s="20">
        <f t="shared" si="3"/>
        <v>0.49808429118773945</v>
      </c>
      <c r="H9" s="20">
        <f t="shared" si="3"/>
        <v>0.56521739130434778</v>
      </c>
      <c r="I9" s="20">
        <f t="shared" si="3"/>
        <v>0.61694915254237281</v>
      </c>
      <c r="J9" s="20">
        <f t="shared" si="3"/>
        <v>0.65408805031446537</v>
      </c>
      <c r="K9" s="20">
        <f t="shared" si="3"/>
        <v>0.68621700879765402</v>
      </c>
      <c r="L9" s="20">
        <f t="shared" si="3"/>
        <v>0.73863636363636376</v>
      </c>
      <c r="M9" s="20">
        <f t="shared" si="3"/>
        <v>0.77088948787062017</v>
      </c>
      <c r="N9" s="20">
        <f t="shared" si="3"/>
        <v>0.82539682539682546</v>
      </c>
      <c r="O9" s="20">
        <f t="shared" si="3"/>
        <v>0.84500000000000008</v>
      </c>
      <c r="P9" s="20">
        <f t="shared" si="3"/>
        <v>0.86666666666666681</v>
      </c>
      <c r="Q9" s="20">
        <f t="shared" si="3"/>
        <v>0.89449541284403689</v>
      </c>
      <c r="R9" s="20">
        <f t="shared" si="3"/>
        <v>0.88510638297872368</v>
      </c>
      <c r="S9" s="20">
        <f t="shared" si="3"/>
        <v>0.90204081632653088</v>
      </c>
      <c r="T9" s="20">
        <f t="shared" si="3"/>
        <v>0.91050583657587558</v>
      </c>
      <c r="U9" s="20">
        <f t="shared" si="3"/>
        <v>0.93560606060606089</v>
      </c>
      <c r="V9" s="20">
        <f t="shared" si="3"/>
        <v>0.94545454545454566</v>
      </c>
    </row>
    <row r="10" spans="1:22" x14ac:dyDescent="0.25">
      <c r="V10" s="23"/>
    </row>
  </sheetData>
  <phoneticPr fontId="2" type="noConversion"/>
  <pageMargins left="0" right="0" top="0.74803149606299213" bottom="0.74803149606299213" header="0.19685039370078741" footer="0"/>
  <pageSetup paperSize="9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workbookViewId="0">
      <selection activeCell="B17" sqref="B17"/>
    </sheetView>
  </sheetViews>
  <sheetFormatPr defaultRowHeight="13.8" x14ac:dyDescent="0.25"/>
  <sheetData>
    <row r="1" spans="1:27" ht="20.399999999999999" x14ac:dyDescent="0.25">
      <c r="A1" s="46" t="s">
        <v>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spans="1:27" ht="15.6" x14ac:dyDescent="0.25">
      <c r="A2" s="42"/>
      <c r="B2" s="42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</row>
    <row r="3" spans="1:27" ht="14.4" x14ac:dyDescent="0.25">
      <c r="A3" s="44" t="s">
        <v>0</v>
      </c>
      <c r="B3" s="44"/>
      <c r="C3" s="3">
        <v>0</v>
      </c>
      <c r="D3" s="3">
        <f t="shared" ref="D3:AA3" si="0">C3+1500</f>
        <v>1500</v>
      </c>
      <c r="E3" s="3">
        <f t="shared" si="0"/>
        <v>3000</v>
      </c>
      <c r="F3" s="3">
        <f t="shared" si="0"/>
        <v>4500</v>
      </c>
      <c r="G3" s="3">
        <f t="shared" si="0"/>
        <v>6000</v>
      </c>
      <c r="H3" s="3">
        <f t="shared" si="0"/>
        <v>7500</v>
      </c>
      <c r="I3" s="3">
        <f t="shared" si="0"/>
        <v>9000</v>
      </c>
      <c r="J3" s="3">
        <f t="shared" si="0"/>
        <v>10500</v>
      </c>
      <c r="K3" s="3">
        <f t="shared" si="0"/>
        <v>12000</v>
      </c>
      <c r="L3" s="3">
        <f t="shared" si="0"/>
        <v>13500</v>
      </c>
      <c r="M3" s="3">
        <f t="shared" si="0"/>
        <v>15000</v>
      </c>
      <c r="N3" s="3">
        <f t="shared" si="0"/>
        <v>16500</v>
      </c>
      <c r="O3" s="3">
        <f t="shared" si="0"/>
        <v>18000</v>
      </c>
      <c r="P3" s="3">
        <f t="shared" si="0"/>
        <v>19500</v>
      </c>
      <c r="Q3" s="3">
        <f t="shared" si="0"/>
        <v>21000</v>
      </c>
      <c r="R3" s="3">
        <f t="shared" si="0"/>
        <v>22500</v>
      </c>
      <c r="S3" s="3">
        <f t="shared" si="0"/>
        <v>24000</v>
      </c>
      <c r="T3" s="3">
        <f t="shared" si="0"/>
        <v>25500</v>
      </c>
      <c r="U3" s="3">
        <f t="shared" si="0"/>
        <v>27000</v>
      </c>
      <c r="V3" s="3">
        <f t="shared" si="0"/>
        <v>28500</v>
      </c>
      <c r="W3" s="3">
        <f t="shared" si="0"/>
        <v>30000</v>
      </c>
      <c r="X3" s="3">
        <f t="shared" si="0"/>
        <v>31500</v>
      </c>
      <c r="Y3" s="3">
        <f t="shared" si="0"/>
        <v>33000</v>
      </c>
      <c r="Z3" s="3">
        <f t="shared" si="0"/>
        <v>34500</v>
      </c>
      <c r="AA3" s="3">
        <f t="shared" si="0"/>
        <v>36000</v>
      </c>
    </row>
    <row r="4" spans="1:27" x14ac:dyDescent="0.25">
      <c r="A4" s="47" t="s">
        <v>6</v>
      </c>
      <c r="B4" s="2" t="s">
        <v>1</v>
      </c>
      <c r="C4" s="4">
        <v>0</v>
      </c>
      <c r="D4" s="4">
        <f t="shared" ref="D4:AA4" si="1">C4+15</f>
        <v>15</v>
      </c>
      <c r="E4" s="4">
        <f t="shared" si="1"/>
        <v>30</v>
      </c>
      <c r="F4" s="4">
        <f t="shared" si="1"/>
        <v>45</v>
      </c>
      <c r="G4" s="4">
        <f t="shared" si="1"/>
        <v>60</v>
      </c>
      <c r="H4" s="4">
        <f t="shared" si="1"/>
        <v>75</v>
      </c>
      <c r="I4" s="4">
        <f t="shared" si="1"/>
        <v>90</v>
      </c>
      <c r="J4" s="4">
        <f t="shared" si="1"/>
        <v>105</v>
      </c>
      <c r="K4" s="4">
        <f t="shared" si="1"/>
        <v>120</v>
      </c>
      <c r="L4" s="4">
        <f t="shared" si="1"/>
        <v>135</v>
      </c>
      <c r="M4" s="4">
        <f t="shared" si="1"/>
        <v>150</v>
      </c>
      <c r="N4" s="4">
        <f t="shared" si="1"/>
        <v>165</v>
      </c>
      <c r="O4" s="4">
        <f t="shared" si="1"/>
        <v>180</v>
      </c>
      <c r="P4" s="4">
        <f t="shared" si="1"/>
        <v>195</v>
      </c>
      <c r="Q4" s="4">
        <f t="shared" si="1"/>
        <v>210</v>
      </c>
      <c r="R4" s="4">
        <f t="shared" si="1"/>
        <v>225</v>
      </c>
      <c r="S4" s="4">
        <f t="shared" si="1"/>
        <v>240</v>
      </c>
      <c r="T4" s="4">
        <f t="shared" si="1"/>
        <v>255</v>
      </c>
      <c r="U4" s="4">
        <f t="shared" si="1"/>
        <v>270</v>
      </c>
      <c r="V4" s="4">
        <f t="shared" si="1"/>
        <v>285</v>
      </c>
      <c r="W4" s="4">
        <f t="shared" si="1"/>
        <v>300</v>
      </c>
      <c r="X4" s="4">
        <f t="shared" si="1"/>
        <v>315</v>
      </c>
      <c r="Y4" s="4">
        <f t="shared" si="1"/>
        <v>330</v>
      </c>
      <c r="Z4" s="4">
        <f t="shared" si="1"/>
        <v>345</v>
      </c>
      <c r="AA4" s="4">
        <f t="shared" si="1"/>
        <v>360</v>
      </c>
    </row>
    <row r="5" spans="1:27" x14ac:dyDescent="0.25">
      <c r="A5" s="48"/>
      <c r="B5" s="2" t="s">
        <v>2</v>
      </c>
      <c r="C5" s="1">
        <f>C4+C6</f>
        <v>0</v>
      </c>
      <c r="D5" s="1">
        <f t="shared" ref="D5:AA5" ca="1" si="2">D4+D6/3600</f>
        <v>14.988331473926332</v>
      </c>
      <c r="E5" s="1">
        <f t="shared" ca="1" si="2"/>
        <v>29.996236231429553</v>
      </c>
      <c r="F5" s="1">
        <f t="shared" ca="1" si="2"/>
        <v>44.989184100286565</v>
      </c>
      <c r="G5" s="1">
        <f t="shared" ca="1" si="2"/>
        <v>60.010793173438216</v>
      </c>
      <c r="H5" s="1">
        <f t="shared" ca="1" si="2"/>
        <v>74.990934151743005</v>
      </c>
      <c r="I5" s="1">
        <f t="shared" ca="1" si="2"/>
        <v>89.99572916058257</v>
      </c>
      <c r="J5" s="1">
        <f t="shared" ca="1" si="2"/>
        <v>105.00814142677062</v>
      </c>
      <c r="K5" s="1">
        <f t="shared" ca="1" si="2"/>
        <v>120.0081833633444</v>
      </c>
      <c r="L5" s="1">
        <f t="shared" ca="1" si="2"/>
        <v>135.01160363131316</v>
      </c>
      <c r="M5" s="1">
        <f t="shared" ca="1" si="2"/>
        <v>150.01198830797532</v>
      </c>
      <c r="N5" s="1">
        <f t="shared" ca="1" si="2"/>
        <v>165.00387305792523</v>
      </c>
      <c r="O5" s="1">
        <f t="shared" ca="1" si="2"/>
        <v>180.00170557702296</v>
      </c>
      <c r="P5" s="1">
        <f t="shared" ca="1" si="2"/>
        <v>194.99140332941033</v>
      </c>
      <c r="Q5" s="1">
        <f t="shared" ca="1" si="2"/>
        <v>209.98770589348129</v>
      </c>
      <c r="R5" s="1">
        <f t="shared" ca="1" si="2"/>
        <v>225.00042674850539</v>
      </c>
      <c r="S5" s="1">
        <f t="shared" ca="1" si="2"/>
        <v>239.99539026559418</v>
      </c>
      <c r="T5" s="1">
        <f t="shared" ca="1" si="2"/>
        <v>254.99002710509291</v>
      </c>
      <c r="U5" s="1">
        <f t="shared" ca="1" si="2"/>
        <v>270.00848752962929</v>
      </c>
      <c r="V5" s="1">
        <f t="shared" ca="1" si="2"/>
        <v>284.99496280693467</v>
      </c>
      <c r="W5" s="1">
        <f t="shared" ca="1" si="2"/>
        <v>300.00819515053473</v>
      </c>
      <c r="X5" s="1">
        <f t="shared" ca="1" si="2"/>
        <v>315.01005650239273</v>
      </c>
      <c r="Y5" s="1">
        <f t="shared" ca="1" si="2"/>
        <v>330.00653295188221</v>
      </c>
      <c r="Z5" s="1">
        <f t="shared" ca="1" si="2"/>
        <v>345.00383914186136</v>
      </c>
      <c r="AA5" s="1">
        <f t="shared" ca="1" si="2"/>
        <v>360.01121486478024</v>
      </c>
    </row>
    <row r="6" spans="1:27" ht="14.4" x14ac:dyDescent="0.25">
      <c r="A6" s="43" t="s">
        <v>4</v>
      </c>
      <c r="B6" s="43"/>
      <c r="C6" s="1">
        <v>0</v>
      </c>
      <c r="D6" s="5">
        <f t="shared" ref="D6:AA6" ca="1" si="3">(RAND()-0.5)*100</f>
        <v>-42.006693865209307</v>
      </c>
      <c r="E6" s="5">
        <f t="shared" ca="1" si="3"/>
        <v>-13.549566853612449</v>
      </c>
      <c r="F6" s="5">
        <f t="shared" ca="1" si="3"/>
        <v>-38.937238968370039</v>
      </c>
      <c r="G6" s="5">
        <f t="shared" ca="1" si="3"/>
        <v>38.85542437756888</v>
      </c>
      <c r="H6" s="5">
        <f t="shared" ca="1" si="3"/>
        <v>-32.637053725181673</v>
      </c>
      <c r="I6" s="5">
        <f t="shared" ca="1" si="3"/>
        <v>-15.375021902770492</v>
      </c>
      <c r="J6" s="5">
        <f t="shared" ca="1" si="3"/>
        <v>29.30913637423258</v>
      </c>
      <c r="K6" s="5">
        <f t="shared" ca="1" si="3"/>
        <v>29.460108039844513</v>
      </c>
      <c r="L6" s="5">
        <f t="shared" ca="1" si="3"/>
        <v>41.773072727420455</v>
      </c>
      <c r="M6" s="5">
        <f t="shared" ca="1" si="3"/>
        <v>43.157908711085327</v>
      </c>
      <c r="N6" s="5">
        <f t="shared" ca="1" si="3"/>
        <v>13.943008530850499</v>
      </c>
      <c r="O6" s="5">
        <f t="shared" ca="1" si="3"/>
        <v>6.1400772826598171</v>
      </c>
      <c r="P6" s="5">
        <f t="shared" ca="1" si="3"/>
        <v>-30.948014122853486</v>
      </c>
      <c r="Q6" s="5">
        <f t="shared" ca="1" si="3"/>
        <v>-44.258783467387829</v>
      </c>
      <c r="R6" s="5">
        <f t="shared" ca="1" si="3"/>
        <v>1.536294619439782</v>
      </c>
      <c r="S6" s="5">
        <f t="shared" ca="1" si="3"/>
        <v>-16.59504386097117</v>
      </c>
      <c r="T6" s="5">
        <f t="shared" ca="1" si="3"/>
        <v>-35.902421665510019</v>
      </c>
      <c r="U6" s="5">
        <f t="shared" ca="1" si="3"/>
        <v>30.55510666551411</v>
      </c>
      <c r="V6" s="5">
        <f t="shared" ca="1" si="3"/>
        <v>-18.133895035160762</v>
      </c>
      <c r="W6" s="5">
        <f t="shared" ca="1" si="3"/>
        <v>29.502541924939162</v>
      </c>
      <c r="X6" s="5">
        <f t="shared" ca="1" si="3"/>
        <v>36.203408613925248</v>
      </c>
      <c r="Y6" s="5">
        <f t="shared" ca="1" si="3"/>
        <v>23.51862677587382</v>
      </c>
      <c r="Z6" s="5">
        <f t="shared" ca="1" si="3"/>
        <v>13.820910700976018</v>
      </c>
      <c r="AA6" s="5">
        <f t="shared" ca="1" si="3"/>
        <v>40.373513208849573</v>
      </c>
    </row>
    <row r="8" spans="1:27" ht="20.399999999999999" x14ac:dyDescent="0.25">
      <c r="A8" s="46" t="s">
        <v>8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spans="1:27" ht="15.6" x14ac:dyDescent="0.25">
      <c r="A9" s="42"/>
      <c r="B9" s="42"/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  <c r="O9" s="1">
        <v>13</v>
      </c>
      <c r="P9" s="1">
        <v>14</v>
      </c>
      <c r="Q9" s="1">
        <v>15</v>
      </c>
      <c r="R9" s="1">
        <v>16</v>
      </c>
      <c r="S9" s="1">
        <v>17</v>
      </c>
      <c r="T9" s="1">
        <v>18</v>
      </c>
      <c r="U9" s="1">
        <v>19</v>
      </c>
      <c r="V9" s="1">
        <v>20</v>
      </c>
      <c r="W9" s="1">
        <v>21</v>
      </c>
      <c r="X9" s="1">
        <v>22</v>
      </c>
      <c r="Y9" s="1">
        <v>23</v>
      </c>
      <c r="Z9" s="1">
        <v>24</v>
      </c>
      <c r="AA9" s="1">
        <v>25</v>
      </c>
    </row>
    <row r="10" spans="1:27" ht="14.4" x14ac:dyDescent="0.25">
      <c r="A10" s="44" t="s">
        <v>0</v>
      </c>
      <c r="B10" s="44"/>
      <c r="C10" s="3">
        <v>0</v>
      </c>
      <c r="D10" s="3">
        <f t="shared" ref="D10:AA10" si="4">C10+1500</f>
        <v>1500</v>
      </c>
      <c r="E10" s="3">
        <f t="shared" si="4"/>
        <v>3000</v>
      </c>
      <c r="F10" s="3">
        <f t="shared" si="4"/>
        <v>4500</v>
      </c>
      <c r="G10" s="3">
        <f t="shared" si="4"/>
        <v>6000</v>
      </c>
      <c r="H10" s="3">
        <f t="shared" si="4"/>
        <v>7500</v>
      </c>
      <c r="I10" s="3">
        <f t="shared" si="4"/>
        <v>9000</v>
      </c>
      <c r="J10" s="3">
        <f t="shared" si="4"/>
        <v>10500</v>
      </c>
      <c r="K10" s="3">
        <f t="shared" si="4"/>
        <v>12000</v>
      </c>
      <c r="L10" s="3">
        <f t="shared" si="4"/>
        <v>13500</v>
      </c>
      <c r="M10" s="3">
        <f t="shared" si="4"/>
        <v>15000</v>
      </c>
      <c r="N10" s="3">
        <f t="shared" si="4"/>
        <v>16500</v>
      </c>
      <c r="O10" s="3">
        <f t="shared" si="4"/>
        <v>18000</v>
      </c>
      <c r="P10" s="3">
        <f t="shared" si="4"/>
        <v>19500</v>
      </c>
      <c r="Q10" s="3">
        <f t="shared" si="4"/>
        <v>21000</v>
      </c>
      <c r="R10" s="3">
        <f t="shared" si="4"/>
        <v>22500</v>
      </c>
      <c r="S10" s="3">
        <f t="shared" si="4"/>
        <v>24000</v>
      </c>
      <c r="T10" s="3">
        <f t="shared" si="4"/>
        <v>25500</v>
      </c>
      <c r="U10" s="3">
        <f t="shared" si="4"/>
        <v>27000</v>
      </c>
      <c r="V10" s="3">
        <f t="shared" si="4"/>
        <v>28500</v>
      </c>
      <c r="W10" s="3">
        <f t="shared" si="4"/>
        <v>30000</v>
      </c>
      <c r="X10" s="3">
        <f t="shared" si="4"/>
        <v>31500</v>
      </c>
      <c r="Y10" s="3">
        <f t="shared" si="4"/>
        <v>33000</v>
      </c>
      <c r="Z10" s="3">
        <f t="shared" si="4"/>
        <v>34500</v>
      </c>
      <c r="AA10" s="3">
        <f t="shared" si="4"/>
        <v>36000</v>
      </c>
    </row>
    <row r="11" spans="1:27" x14ac:dyDescent="0.25">
      <c r="A11" s="45" t="s">
        <v>5</v>
      </c>
      <c r="B11" s="6" t="s">
        <v>1</v>
      </c>
      <c r="C11" s="4">
        <v>0</v>
      </c>
      <c r="D11" s="4">
        <f t="shared" ref="D11:AA11" si="5">C11+15</f>
        <v>15</v>
      </c>
      <c r="E11" s="4">
        <f t="shared" si="5"/>
        <v>30</v>
      </c>
      <c r="F11" s="4">
        <f t="shared" si="5"/>
        <v>45</v>
      </c>
      <c r="G11" s="4">
        <f t="shared" si="5"/>
        <v>60</v>
      </c>
      <c r="H11" s="4">
        <f t="shared" si="5"/>
        <v>75</v>
      </c>
      <c r="I11" s="4">
        <f t="shared" si="5"/>
        <v>90</v>
      </c>
      <c r="J11" s="4">
        <f t="shared" si="5"/>
        <v>105</v>
      </c>
      <c r="K11" s="4">
        <f t="shared" si="5"/>
        <v>120</v>
      </c>
      <c r="L11" s="4">
        <f t="shared" si="5"/>
        <v>135</v>
      </c>
      <c r="M11" s="4">
        <f t="shared" si="5"/>
        <v>150</v>
      </c>
      <c r="N11" s="4">
        <f t="shared" si="5"/>
        <v>165</v>
      </c>
      <c r="O11" s="4">
        <f t="shared" si="5"/>
        <v>180</v>
      </c>
      <c r="P11" s="4">
        <f t="shared" si="5"/>
        <v>195</v>
      </c>
      <c r="Q11" s="4">
        <f t="shared" si="5"/>
        <v>210</v>
      </c>
      <c r="R11" s="4">
        <f t="shared" si="5"/>
        <v>225</v>
      </c>
      <c r="S11" s="4">
        <f t="shared" si="5"/>
        <v>240</v>
      </c>
      <c r="T11" s="4">
        <f t="shared" si="5"/>
        <v>255</v>
      </c>
      <c r="U11" s="4">
        <f t="shared" si="5"/>
        <v>270</v>
      </c>
      <c r="V11" s="4">
        <f t="shared" si="5"/>
        <v>285</v>
      </c>
      <c r="W11" s="4">
        <f t="shared" si="5"/>
        <v>300</v>
      </c>
      <c r="X11" s="4">
        <f t="shared" si="5"/>
        <v>315</v>
      </c>
      <c r="Y11" s="4">
        <f t="shared" si="5"/>
        <v>330</v>
      </c>
      <c r="Z11" s="4">
        <f t="shared" si="5"/>
        <v>345</v>
      </c>
      <c r="AA11" s="4">
        <f t="shared" si="5"/>
        <v>360</v>
      </c>
    </row>
    <row r="12" spans="1:27" x14ac:dyDescent="0.25">
      <c r="A12" s="45"/>
      <c r="B12" s="6" t="s">
        <v>2</v>
      </c>
      <c r="C12" s="1">
        <f>C11+C13</f>
        <v>0</v>
      </c>
      <c r="D12" s="1">
        <f t="shared" ref="D12:AA12" ca="1" si="6">D11+D13/3600</f>
        <v>15.008333333333333</v>
      </c>
      <c r="E12" s="1">
        <f t="shared" ca="1" si="6"/>
        <v>29.994444444444444</v>
      </c>
      <c r="F12" s="1">
        <f t="shared" ca="1" si="6"/>
        <v>45.011111111111113</v>
      </c>
      <c r="G12" s="1">
        <f t="shared" ca="1" si="6"/>
        <v>59.994444444444447</v>
      </c>
      <c r="H12" s="1">
        <f t="shared" ca="1" si="6"/>
        <v>74.99722222222222</v>
      </c>
      <c r="I12" s="1">
        <f t="shared" ca="1" si="6"/>
        <v>90</v>
      </c>
      <c r="J12" s="1">
        <f t="shared" ca="1" si="6"/>
        <v>104.98888888888889</v>
      </c>
      <c r="K12" s="1">
        <f t="shared" ca="1" si="6"/>
        <v>120.01111111111111</v>
      </c>
      <c r="L12" s="1">
        <f t="shared" ca="1" si="6"/>
        <v>135.00833333333333</v>
      </c>
      <c r="M12" s="1">
        <f t="shared" ca="1" si="6"/>
        <v>149.99166666666667</v>
      </c>
      <c r="N12" s="1">
        <f t="shared" ca="1" si="6"/>
        <v>165.00277777777777</v>
      </c>
      <c r="O12" s="1">
        <f t="shared" ca="1" si="6"/>
        <v>179.99444444444444</v>
      </c>
      <c r="P12" s="1">
        <f t="shared" ca="1" si="6"/>
        <v>195.01111111111112</v>
      </c>
      <c r="Q12" s="1">
        <f t="shared" ca="1" si="6"/>
        <v>209.98611111111111</v>
      </c>
      <c r="R12" s="1">
        <f t="shared" ca="1" si="6"/>
        <v>225.00833333333333</v>
      </c>
      <c r="S12" s="1">
        <f t="shared" ca="1" si="6"/>
        <v>240</v>
      </c>
      <c r="T12" s="1">
        <f t="shared" ca="1" si="6"/>
        <v>254.98888888888888</v>
      </c>
      <c r="U12" s="1">
        <f t="shared" ca="1" si="6"/>
        <v>270</v>
      </c>
      <c r="V12" s="1">
        <f t="shared" ca="1" si="6"/>
        <v>285.01111111111112</v>
      </c>
      <c r="W12" s="1">
        <f t="shared" ca="1" si="6"/>
        <v>300</v>
      </c>
      <c r="X12" s="1">
        <f t="shared" ca="1" si="6"/>
        <v>315.00277777777779</v>
      </c>
      <c r="Y12" s="1">
        <f t="shared" ca="1" si="6"/>
        <v>329.99722222222221</v>
      </c>
      <c r="Z12" s="1">
        <f t="shared" ca="1" si="6"/>
        <v>344.99444444444447</v>
      </c>
      <c r="AA12" s="1">
        <f t="shared" ca="1" si="6"/>
        <v>359.99166666666667</v>
      </c>
    </row>
    <row r="13" spans="1:27" ht="14.4" x14ac:dyDescent="0.25">
      <c r="A13" s="43" t="s">
        <v>3</v>
      </c>
      <c r="B13" s="43"/>
      <c r="C13" s="1">
        <v>0</v>
      </c>
      <c r="D13" s="1">
        <f t="shared" ref="D13:AA13" ca="1" si="7">RANDBETWEEN(-5,5)*10</f>
        <v>30</v>
      </c>
      <c r="E13" s="1">
        <f t="shared" ca="1" si="7"/>
        <v>-20</v>
      </c>
      <c r="F13" s="1">
        <f t="shared" ca="1" si="7"/>
        <v>40</v>
      </c>
      <c r="G13" s="1">
        <f t="shared" ca="1" si="7"/>
        <v>-20</v>
      </c>
      <c r="H13" s="1">
        <f t="shared" ca="1" si="7"/>
        <v>-10</v>
      </c>
      <c r="I13" s="1">
        <f t="shared" ca="1" si="7"/>
        <v>0</v>
      </c>
      <c r="J13" s="1">
        <f t="shared" ca="1" si="7"/>
        <v>-40</v>
      </c>
      <c r="K13" s="1">
        <f t="shared" ca="1" si="7"/>
        <v>40</v>
      </c>
      <c r="L13" s="1">
        <f t="shared" ca="1" si="7"/>
        <v>30</v>
      </c>
      <c r="M13" s="1">
        <f t="shared" ca="1" si="7"/>
        <v>-30</v>
      </c>
      <c r="N13" s="1">
        <f t="shared" ca="1" si="7"/>
        <v>10</v>
      </c>
      <c r="O13" s="1">
        <f t="shared" ca="1" si="7"/>
        <v>-20</v>
      </c>
      <c r="P13" s="1">
        <f t="shared" ca="1" si="7"/>
        <v>40</v>
      </c>
      <c r="Q13" s="1">
        <f t="shared" ca="1" si="7"/>
        <v>-50</v>
      </c>
      <c r="R13" s="1">
        <f t="shared" ca="1" si="7"/>
        <v>30</v>
      </c>
      <c r="S13" s="1">
        <f t="shared" ca="1" si="7"/>
        <v>0</v>
      </c>
      <c r="T13" s="1">
        <f t="shared" ca="1" si="7"/>
        <v>-40</v>
      </c>
      <c r="U13" s="1">
        <f t="shared" ca="1" si="7"/>
        <v>0</v>
      </c>
      <c r="V13" s="1">
        <f t="shared" ca="1" si="7"/>
        <v>40</v>
      </c>
      <c r="W13" s="1">
        <f t="shared" ca="1" si="7"/>
        <v>0</v>
      </c>
      <c r="X13" s="1">
        <f t="shared" ca="1" si="7"/>
        <v>10</v>
      </c>
      <c r="Y13" s="1">
        <f t="shared" ca="1" si="7"/>
        <v>-10</v>
      </c>
      <c r="Z13" s="1">
        <f t="shared" ca="1" si="7"/>
        <v>-20</v>
      </c>
      <c r="AA13" s="1">
        <f t="shared" ca="1" si="7"/>
        <v>-30</v>
      </c>
    </row>
  </sheetData>
  <mergeCells count="10">
    <mergeCell ref="A10:B10"/>
    <mergeCell ref="A11:A12"/>
    <mergeCell ref="A13:B13"/>
    <mergeCell ref="A6:B6"/>
    <mergeCell ref="A1:AA1"/>
    <mergeCell ref="A8:AA8"/>
    <mergeCell ref="A9:B9"/>
    <mergeCell ref="A4:A5"/>
    <mergeCell ref="A3:B3"/>
    <mergeCell ref="A2:B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静态传动误差</vt:lpstr>
      <vt:lpstr>背隙&amp;转动刚度</vt:lpstr>
      <vt:lpstr>启动力矩</vt:lpstr>
      <vt:lpstr>动态传动误差</vt:lpstr>
      <vt:lpstr>传动效率</vt:lpstr>
      <vt:lpstr>传动误差计算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2025-09-22T07:35:55Z</cp:lastPrinted>
  <dcterms:created xsi:type="dcterms:W3CDTF">2025-09-16T07:31:16Z</dcterms:created>
  <dcterms:modified xsi:type="dcterms:W3CDTF">2025-09-24T08:24:09Z</dcterms:modified>
</cp:coreProperties>
</file>